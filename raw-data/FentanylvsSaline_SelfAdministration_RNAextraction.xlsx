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eural_Plasticity/Ege/Fentanyl vs Saline Self Administration Bulk RNAseq/"/>
    </mc:Choice>
  </mc:AlternateContent>
  <xr:revisionPtr revIDLastSave="0" documentId="13_ncr:1_{E0AB97C9-8007-7D46-86C7-38AA601E1E07}" xr6:coauthVersionLast="47" xr6:coauthVersionMax="47" xr10:uidLastSave="{00000000-0000-0000-0000-000000000000}"/>
  <bookViews>
    <workbookView xWindow="960" yWindow="760" windowWidth="28040" windowHeight="17440" activeTab="1" xr2:uid="{DB3991EF-617A-7F4B-B65F-F21D6C73D099}"/>
  </bookViews>
  <sheets>
    <sheet name="Experiment Information" sheetId="1" r:id="rId1"/>
    <sheet name="SubjectInformation for Analysis" sheetId="3" r:id="rId2"/>
    <sheet name="For BioAnalyzer Dilu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6" i="1"/>
  <c r="J37" i="1"/>
  <c r="J38" i="1"/>
  <c r="J34" i="1"/>
  <c r="I35" i="1"/>
  <c r="I36" i="1"/>
  <c r="I37" i="1"/>
  <c r="I38" i="1"/>
  <c r="I34" i="1"/>
  <c r="H35" i="1"/>
  <c r="H36" i="1"/>
  <c r="H37" i="1"/>
  <c r="H38" i="1"/>
  <c r="H34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2" i="2"/>
  <c r="H18" i="1"/>
  <c r="H16" i="1"/>
  <c r="H2" i="1"/>
  <c r="I16" i="1"/>
  <c r="J16" i="1" s="1"/>
  <c r="H3" i="1"/>
  <c r="H19" i="1"/>
  <c r="I19" i="1" s="1"/>
  <c r="H4" i="1"/>
  <c r="I4" i="1" s="1"/>
  <c r="H20" i="1"/>
  <c r="H5" i="1"/>
  <c r="I5" i="1" s="1"/>
  <c r="H21" i="1"/>
  <c r="I21" i="1" s="1"/>
  <c r="J21" i="1" s="1"/>
  <c r="H6" i="1"/>
  <c r="I6" i="1" s="1"/>
  <c r="J6" i="1" s="1"/>
  <c r="H22" i="1"/>
  <c r="I22" i="1" s="1"/>
  <c r="J22" i="1" s="1"/>
  <c r="H7" i="1"/>
  <c r="I7" i="1" s="1"/>
  <c r="J7" i="1" s="1"/>
  <c r="H23" i="1"/>
  <c r="H8" i="1"/>
  <c r="H24" i="1"/>
  <c r="H9" i="1"/>
  <c r="I9" i="1" s="1"/>
  <c r="H25" i="1"/>
  <c r="H10" i="1"/>
  <c r="H26" i="1"/>
  <c r="I26" i="1" s="1"/>
  <c r="J26" i="1" s="1"/>
  <c r="H11" i="1"/>
  <c r="I11" i="1" s="1"/>
  <c r="J11" i="1" s="1"/>
  <c r="H27" i="1"/>
  <c r="I27" i="1" s="1"/>
  <c r="J27" i="1" s="1"/>
  <c r="H12" i="1"/>
  <c r="I12" i="1" s="1"/>
  <c r="J12" i="1" s="1"/>
  <c r="H28" i="1"/>
  <c r="H13" i="1"/>
  <c r="I13" i="1" s="1"/>
  <c r="H29" i="1"/>
  <c r="H14" i="1"/>
  <c r="H30" i="1"/>
  <c r="I30" i="1" s="1"/>
  <c r="H15" i="1"/>
  <c r="H31" i="1"/>
  <c r="I31" i="1" s="1"/>
  <c r="J31" i="1" s="1"/>
  <c r="H32" i="1"/>
  <c r="I32" i="1" s="1"/>
  <c r="J32" i="1" s="1"/>
  <c r="H17" i="1"/>
  <c r="I17" i="1" s="1"/>
  <c r="J17" i="1" s="1"/>
  <c r="H33" i="1"/>
  <c r="I20" i="1" l="1"/>
  <c r="J20" i="1" s="1"/>
  <c r="J5" i="1"/>
  <c r="I29" i="1"/>
  <c r="J29" i="1" s="1"/>
  <c r="I24" i="1"/>
  <c r="J24" i="1" s="1"/>
  <c r="J30" i="1"/>
  <c r="I8" i="1"/>
  <c r="J8" i="1" s="1"/>
  <c r="I3" i="1"/>
  <c r="J3" i="1" s="1"/>
  <c r="J9" i="1"/>
  <c r="I33" i="1"/>
  <c r="J33" i="1" s="1"/>
  <c r="I28" i="1"/>
  <c r="J28" i="1" s="1"/>
  <c r="I23" i="1"/>
  <c r="J23" i="1" s="1"/>
  <c r="I18" i="1"/>
  <c r="J18" i="1" s="1"/>
  <c r="J19" i="1"/>
  <c r="I15" i="1"/>
  <c r="J15" i="1" s="1"/>
  <c r="I10" i="1"/>
  <c r="J10" i="1" s="1"/>
  <c r="I2" i="1"/>
  <c r="J2" i="1" s="1"/>
  <c r="J4" i="1"/>
  <c r="J13" i="1"/>
  <c r="I25" i="1"/>
  <c r="J25" i="1" s="1"/>
  <c r="I14" i="1"/>
  <c r="J14" i="1" s="1"/>
</calcChain>
</file>

<file path=xl/sharedStrings.xml><?xml version="1.0" encoding="utf-8"?>
<sst xmlns="http://schemas.openxmlformats.org/spreadsheetml/2006/main" count="547" uniqueCount="84">
  <si>
    <t>Sample No.</t>
  </si>
  <si>
    <t>Rat ID</t>
  </si>
  <si>
    <t>Tissue Punch Label</t>
  </si>
  <si>
    <t>Substance</t>
  </si>
  <si>
    <t>Sex</t>
  </si>
  <si>
    <t>NanoDrop (ng/uL)</t>
  </si>
  <si>
    <t>LgA 01</t>
  </si>
  <si>
    <t>LgA 04</t>
  </si>
  <si>
    <t>LgA 09</t>
  </si>
  <si>
    <t>LgA 11</t>
  </si>
  <si>
    <t>LgA 13</t>
  </si>
  <si>
    <t>LgA 15</t>
  </si>
  <si>
    <t>LgA 19</t>
  </si>
  <si>
    <t>LgA 21</t>
  </si>
  <si>
    <t>Fentanyl</t>
  </si>
  <si>
    <t>Male</t>
  </si>
  <si>
    <t>Brain Region</t>
  </si>
  <si>
    <t>habenula</t>
  </si>
  <si>
    <t>amygdala</t>
  </si>
  <si>
    <t>1-F LHb 01</t>
  </si>
  <si>
    <t>1-F Amyg 01</t>
  </si>
  <si>
    <t>2-F LHb 04</t>
  </si>
  <si>
    <t>2-F Amyg 04</t>
  </si>
  <si>
    <t>3-F LHb 09</t>
  </si>
  <si>
    <t>3-F Amyg 09</t>
  </si>
  <si>
    <t>4-F LHb 11</t>
  </si>
  <si>
    <t>4-F Amyg 11</t>
  </si>
  <si>
    <t>5-F LHb 13</t>
  </si>
  <si>
    <t>5-F Amyg 13</t>
  </si>
  <si>
    <t>6-F LHb 15</t>
  </si>
  <si>
    <t>6-F Amyg 15</t>
  </si>
  <si>
    <t>7-F LHb 19</t>
  </si>
  <si>
    <t>7-F Amyg 19</t>
  </si>
  <si>
    <t>8-F LHb 21</t>
  </si>
  <si>
    <t>8-F Amyg 21</t>
  </si>
  <si>
    <t>Saline</t>
  </si>
  <si>
    <t>LgA 02</t>
  </si>
  <si>
    <t>LgA 06</t>
  </si>
  <si>
    <t>LgA 08</t>
  </si>
  <si>
    <t>LgA 10</t>
  </si>
  <si>
    <t>LgA 12</t>
  </si>
  <si>
    <t>LgA 14</t>
  </si>
  <si>
    <t>LgA 16</t>
  </si>
  <si>
    <t>LgA 18</t>
  </si>
  <si>
    <t>9-S LHb 02</t>
  </si>
  <si>
    <t>9-S Amyg 02</t>
  </si>
  <si>
    <t>10-S Amyg 06</t>
  </si>
  <si>
    <t>10-S LHb 06</t>
  </si>
  <si>
    <t>11-S Amyg 08</t>
  </si>
  <si>
    <t>11-S LHb 08</t>
  </si>
  <si>
    <t>12-S Amyg 10</t>
  </si>
  <si>
    <t>12-S LHb 10</t>
  </si>
  <si>
    <t>13-S LHb 12</t>
  </si>
  <si>
    <t>13-S Amyg 12</t>
  </si>
  <si>
    <t>14-S LHb 14</t>
  </si>
  <si>
    <t>14-S Amyg 14</t>
  </si>
  <si>
    <t>15-S LHb 16</t>
  </si>
  <si>
    <t>15-S Amyg 16</t>
  </si>
  <si>
    <t>16-S LHb 18</t>
  </si>
  <si>
    <t>16-S Amyg 18</t>
  </si>
  <si>
    <t>Amount Left in ng</t>
  </si>
  <si>
    <t xml:space="preserve">TE Buffer to Add for 20 ng/uL </t>
  </si>
  <si>
    <t>Diluted to 20 ng/uL</t>
  </si>
  <si>
    <t>Rnase Free Water to Add (uL)</t>
  </si>
  <si>
    <t>Diluted to 5 ng/uL</t>
  </si>
  <si>
    <t>LgA 05</t>
  </si>
  <si>
    <t>LgA 20</t>
  </si>
  <si>
    <t>LgA 22</t>
  </si>
  <si>
    <t>17-S LHb 05</t>
  </si>
  <si>
    <t>18-S LHb 20</t>
  </si>
  <si>
    <t>19-S LHb 22</t>
  </si>
  <si>
    <t>33-S Amyg 20</t>
  </si>
  <si>
    <t>34-S Amyg 22</t>
  </si>
  <si>
    <t>260/280</t>
  </si>
  <si>
    <t>RIN</t>
  </si>
  <si>
    <t>*won't have 50 uL of diluted form (which is what Psomagen ideally wants) so consider swapping</t>
  </si>
  <si>
    <t>can swap</t>
  </si>
  <si>
    <t>NanoDrop (ng/uL) or *BioA read in the case of the neg conc Hb</t>
  </si>
  <si>
    <t>*2.096</t>
  </si>
  <si>
    <t>*5.342</t>
  </si>
  <si>
    <t>*1.393</t>
  </si>
  <si>
    <t>E-36</t>
  </si>
  <si>
    <t>extra one we sequenced</t>
  </si>
  <si>
    <t>blue ones are the replacements for the samples that failed QC, but the sample no. was left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</si>
</sst>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86E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1" fillId="0" borderId="2" xfId="0" applyFont="1" applyBorder="1"/>
    <xf numFmtId="164" fontId="1" fillId="0" borderId="0" xfId="0" applyNumberFormat="1" applyFont="1"/>
    <xf numFmtId="164" fontId="0" fillId="0" borderId="1" xfId="0" applyNumberFormat="1" applyBorder="1"/>
    <xf numFmtId="164" fontId="0" fillId="0" borderId="0" xfId="0" applyNumberFormat="1"/>
    <xf numFmtId="0" fontId="0" fillId="4" borderId="1" xfId="0" applyFill="1" applyBorder="1"/>
    <xf numFmtId="164" fontId="0" fillId="4" borderId="1" xfId="0" applyNumberFormat="1" applyFill="1" applyBorder="1"/>
    <xf numFmtId="0" fontId="0" fillId="5" borderId="1" xfId="0" applyFill="1" applyBorder="1"/>
    <xf numFmtId="0" fontId="0" fillId="6" borderId="1" xfId="0" applyFill="1" applyBorder="1"/>
    <xf numFmtId="164" fontId="0" fillId="6" borderId="1" xfId="0" applyNumberFormat="1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4" xfId="0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0" borderId="8" xfId="0" applyBorder="1"/>
    <xf numFmtId="0" fontId="0" fillId="3" borderId="7" xfId="0" applyFill="1" applyBorder="1"/>
    <xf numFmtId="0" fontId="0" fillId="3" borderId="9" xfId="0" applyFill="1" applyBorder="1"/>
    <xf numFmtId="0" fontId="0" fillId="3" borderId="10" xfId="0" applyFill="1" applyBorder="1"/>
    <xf numFmtId="0" fontId="0" fillId="0" borderId="10" xfId="0" applyBorder="1"/>
    <xf numFmtId="0" fontId="0" fillId="4" borderId="12" xfId="0" applyFill="1" applyBorder="1"/>
    <xf numFmtId="0" fontId="0" fillId="0" borderId="13" xfId="0" applyBorder="1"/>
    <xf numFmtId="164" fontId="0" fillId="0" borderId="10" xfId="0" applyNumberFormat="1" applyBorder="1"/>
    <xf numFmtId="0" fontId="0" fillId="0" borderId="14" xfId="0" applyBorder="1"/>
    <xf numFmtId="0" fontId="0" fillId="6" borderId="3" xfId="0" applyFill="1" applyBorder="1"/>
    <xf numFmtId="0" fontId="0" fillId="6" borderId="4" xfId="0" applyFill="1" applyBorder="1"/>
    <xf numFmtId="164" fontId="0" fillId="6" borderId="4" xfId="0" applyNumberFormat="1" applyFill="1" applyBorder="1"/>
    <xf numFmtId="0" fontId="0" fillId="0" borderId="15" xfId="0" applyBorder="1"/>
    <xf numFmtId="0" fontId="0" fillId="6" borderId="7" xfId="0" applyFill="1" applyBorder="1"/>
    <xf numFmtId="0" fontId="0" fillId="6" borderId="9" xfId="0" applyFill="1" applyBorder="1"/>
    <xf numFmtId="0" fontId="0" fillId="6" borderId="10" xfId="0" applyFill="1" applyBorder="1"/>
    <xf numFmtId="164" fontId="0" fillId="6" borderId="10" xfId="0" applyNumberFormat="1" applyFill="1" applyBorder="1"/>
    <xf numFmtId="0" fontId="0" fillId="4" borderId="10" xfId="0" applyFill="1" applyBorder="1"/>
    <xf numFmtId="164" fontId="0" fillId="4" borderId="10" xfId="0" applyNumberFormat="1" applyFill="1" applyBorder="1"/>
    <xf numFmtId="0" fontId="0" fillId="4" borderId="11" xfId="0" applyFill="1" applyBorder="1"/>
    <xf numFmtId="0" fontId="0" fillId="4" borderId="0" xfId="0" applyFill="1"/>
    <xf numFmtId="0" fontId="0" fillId="4" borderId="8" xfId="0" applyFill="1" applyBorder="1"/>
    <xf numFmtId="0" fontId="0" fillId="7" borderId="1" xfId="0" applyFill="1" applyBorder="1"/>
    <xf numFmtId="164" fontId="0" fillId="7" borderId="1" xfId="0" applyNumberFormat="1" applyFill="1" applyBorder="1"/>
    <xf numFmtId="0" fontId="0" fillId="7" borderId="0" xfId="0" applyFill="1"/>
    <xf numFmtId="0" fontId="0" fillId="7" borderId="8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8" xfId="0" applyFill="1" applyBorder="1"/>
    <xf numFmtId="0" fontId="0" fillId="3" borderId="8" xfId="0" applyFill="1" applyBorder="1"/>
    <xf numFmtId="0" fontId="0" fillId="2" borderId="6" xfId="0" applyFill="1" applyBorder="1"/>
    <xf numFmtId="0" fontId="0" fillId="2" borderId="18" xfId="0" applyFill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0" fillId="8" borderId="4" xfId="0" applyFill="1" applyBorder="1"/>
    <xf numFmtId="0" fontId="0" fillId="8" borderId="1" xfId="0" applyFill="1" applyBorder="1"/>
    <xf numFmtId="0" fontId="0" fillId="8" borderId="8" xfId="0" applyFill="1" applyBorder="1"/>
    <xf numFmtId="0" fontId="0" fillId="8" borderId="10" xfId="0" applyFill="1" applyBorder="1"/>
    <xf numFmtId="0" fontId="0" fillId="8" borderId="12" xfId="0" applyFill="1" applyBorder="1"/>
    <xf numFmtId="0" fontId="2" fillId="9" borderId="10" xfId="0" applyFont="1" applyFill="1" applyBorder="1"/>
    <xf numFmtId="0" fontId="2" fillId="9" borderId="23" xfId="0" applyFont="1" applyFill="1" applyBorder="1"/>
    <xf numFmtId="0" fontId="0" fillId="8" borderId="0" xfId="0" applyFill="1"/>
    <xf numFmtId="0" fontId="0" fillId="10" borderId="9" xfId="0" applyFill="1" applyBorder="1"/>
    <xf numFmtId="0" fontId="0" fillId="10" borderId="10" xfId="0" applyFill="1" applyBorder="1"/>
    <xf numFmtId="0" fontId="0" fillId="10" borderId="12" xfId="0" applyFill="1" applyBorder="1"/>
    <xf numFmtId="0" fontId="0" fillId="10" borderId="22" xfId="0" applyFill="1" applyBorder="1"/>
    <xf numFmtId="0" fontId="0" fillId="8" borderId="22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6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A48-9D20-5C44-89E5-4602CE3AC3BE}">
  <sheetPr>
    <pageSetUpPr fitToPage="1"/>
  </sheetPr>
  <dimension ref="A1:M38"/>
  <sheetViews>
    <sheetView workbookViewId="0">
      <selection activeCell="B39" sqref="B39"/>
    </sheetView>
  </sheetViews>
  <sheetFormatPr baseColWidth="10" defaultRowHeight="16" x14ac:dyDescent="0.2"/>
  <cols>
    <col min="2" max="3" width="19.6640625" customWidth="1"/>
    <col min="5" max="5" width="14.1640625" customWidth="1"/>
    <col min="7" max="7" width="18.6640625" customWidth="1"/>
    <col min="8" max="8" width="20" customWidth="1"/>
    <col min="9" max="9" width="32" style="9" customWidth="1"/>
    <col min="10" max="10" width="21.83203125" customWidth="1"/>
  </cols>
  <sheetData>
    <row r="1" spans="1:13" s="1" customFormat="1" ht="17" thickBot="1" x14ac:dyDescent="0.25">
      <c r="A1" s="6" t="s">
        <v>0</v>
      </c>
      <c r="B1" s="6" t="s">
        <v>2</v>
      </c>
      <c r="C1" s="6" t="s">
        <v>16</v>
      </c>
      <c r="D1" s="6" t="s">
        <v>1</v>
      </c>
      <c r="E1" s="6" t="s">
        <v>3</v>
      </c>
      <c r="F1" s="6" t="s">
        <v>4</v>
      </c>
      <c r="G1" s="6" t="s">
        <v>77</v>
      </c>
      <c r="H1" s="1" t="s">
        <v>60</v>
      </c>
      <c r="I1" s="7" t="s">
        <v>61</v>
      </c>
      <c r="J1" s="1" t="s">
        <v>62</v>
      </c>
      <c r="K1" s="1" t="s">
        <v>73</v>
      </c>
      <c r="L1" s="1" t="s">
        <v>74</v>
      </c>
    </row>
    <row r="2" spans="1:13" x14ac:dyDescent="0.2">
      <c r="A2" s="15">
        <v>1</v>
      </c>
      <c r="B2" s="16" t="s">
        <v>19</v>
      </c>
      <c r="C2" s="16" t="s">
        <v>17</v>
      </c>
      <c r="D2" s="16" t="s">
        <v>6</v>
      </c>
      <c r="E2" s="16" t="s">
        <v>14</v>
      </c>
      <c r="F2" s="16" t="s">
        <v>15</v>
      </c>
      <c r="G2" s="17">
        <v>81.5</v>
      </c>
      <c r="H2" s="17">
        <f t="shared" ref="H2:H33" si="0">G2*9</f>
        <v>733.5</v>
      </c>
      <c r="I2" s="18">
        <f t="shared" ref="I2:I33" si="1">(H2-180)/20</f>
        <v>27.675000000000001</v>
      </c>
      <c r="J2" s="17">
        <f t="shared" ref="J2:J33" si="2">H2/(I2+9)</f>
        <v>20</v>
      </c>
      <c r="K2" s="19"/>
      <c r="L2" s="20">
        <v>7.9</v>
      </c>
    </row>
    <row r="3" spans="1:13" x14ac:dyDescent="0.2">
      <c r="A3" s="21">
        <v>2</v>
      </c>
      <c r="B3" s="3" t="s">
        <v>21</v>
      </c>
      <c r="C3" s="3" t="s">
        <v>17</v>
      </c>
      <c r="D3" s="3" t="s">
        <v>7</v>
      </c>
      <c r="E3" s="3" t="s">
        <v>14</v>
      </c>
      <c r="F3" s="3" t="s">
        <v>15</v>
      </c>
      <c r="G3" s="44" t="s">
        <v>78</v>
      </c>
      <c r="H3" s="44" t="e">
        <f t="shared" si="0"/>
        <v>#VALUE!</v>
      </c>
      <c r="I3" s="45" t="e">
        <f t="shared" si="1"/>
        <v>#VALUE!</v>
      </c>
      <c r="J3" s="44" t="e">
        <f t="shared" si="2"/>
        <v>#VALUE!</v>
      </c>
      <c r="K3" s="46"/>
      <c r="L3" s="47">
        <v>8.1</v>
      </c>
    </row>
    <row r="4" spans="1:13" x14ac:dyDescent="0.2">
      <c r="A4" s="21">
        <v>3</v>
      </c>
      <c r="B4" s="3" t="s">
        <v>23</v>
      </c>
      <c r="C4" s="3" t="s">
        <v>17</v>
      </c>
      <c r="D4" s="3" t="s">
        <v>8</v>
      </c>
      <c r="E4" s="3" t="s">
        <v>14</v>
      </c>
      <c r="F4" s="3" t="s">
        <v>15</v>
      </c>
      <c r="G4" s="4">
        <v>23.5</v>
      </c>
      <c r="H4" s="4">
        <f t="shared" si="0"/>
        <v>211.5</v>
      </c>
      <c r="I4" s="8">
        <f t="shared" si="1"/>
        <v>1.575</v>
      </c>
      <c r="J4" s="4">
        <f t="shared" si="2"/>
        <v>20</v>
      </c>
      <c r="L4" s="22">
        <v>7.5</v>
      </c>
    </row>
    <row r="5" spans="1:13" x14ac:dyDescent="0.2">
      <c r="A5" s="21">
        <v>4</v>
      </c>
      <c r="B5" s="3" t="s">
        <v>25</v>
      </c>
      <c r="C5" s="3" t="s">
        <v>17</v>
      </c>
      <c r="D5" s="3" t="s">
        <v>9</v>
      </c>
      <c r="E5" s="3" t="s">
        <v>14</v>
      </c>
      <c r="F5" s="3" t="s">
        <v>15</v>
      </c>
      <c r="G5" s="4">
        <v>20.3</v>
      </c>
      <c r="H5" s="4">
        <f t="shared" si="0"/>
        <v>182.70000000000002</v>
      </c>
      <c r="I5" s="8">
        <f t="shared" si="1"/>
        <v>0.13500000000000084</v>
      </c>
      <c r="J5" s="4">
        <f t="shared" si="2"/>
        <v>20</v>
      </c>
      <c r="L5" s="22">
        <v>8.4</v>
      </c>
    </row>
    <row r="6" spans="1:13" x14ac:dyDescent="0.2">
      <c r="A6" s="21">
        <v>5</v>
      </c>
      <c r="B6" s="3" t="s">
        <v>27</v>
      </c>
      <c r="C6" s="3" t="s">
        <v>17</v>
      </c>
      <c r="D6" s="3" t="s">
        <v>10</v>
      </c>
      <c r="E6" s="3" t="s">
        <v>14</v>
      </c>
      <c r="F6" s="3" t="s">
        <v>15</v>
      </c>
      <c r="G6" s="4">
        <v>34.700000000000003</v>
      </c>
      <c r="H6" s="4">
        <f t="shared" si="0"/>
        <v>312.3</v>
      </c>
      <c r="I6" s="8">
        <f t="shared" si="1"/>
        <v>6.6150000000000002</v>
      </c>
      <c r="J6" s="4">
        <f t="shared" si="2"/>
        <v>20</v>
      </c>
      <c r="L6" s="22">
        <v>8.4</v>
      </c>
    </row>
    <row r="7" spans="1:13" x14ac:dyDescent="0.2">
      <c r="A7" s="21">
        <v>6</v>
      </c>
      <c r="B7" s="3" t="s">
        <v>29</v>
      </c>
      <c r="C7" s="3" t="s">
        <v>17</v>
      </c>
      <c r="D7" s="3" t="s">
        <v>11</v>
      </c>
      <c r="E7" s="3" t="s">
        <v>14</v>
      </c>
      <c r="F7" s="3" t="s">
        <v>15</v>
      </c>
      <c r="G7" s="4">
        <v>17.8</v>
      </c>
      <c r="H7" s="4">
        <f t="shared" si="0"/>
        <v>160.20000000000002</v>
      </c>
      <c r="I7" s="8">
        <f t="shared" si="1"/>
        <v>-0.9899999999999991</v>
      </c>
      <c r="J7" s="4">
        <f t="shared" si="2"/>
        <v>20</v>
      </c>
      <c r="L7" s="22">
        <v>8.6999999999999993</v>
      </c>
    </row>
    <row r="8" spans="1:13" x14ac:dyDescent="0.2">
      <c r="A8" s="21">
        <v>7</v>
      </c>
      <c r="B8" s="3" t="s">
        <v>31</v>
      </c>
      <c r="C8" s="3" t="s">
        <v>17</v>
      </c>
      <c r="D8" s="3" t="s">
        <v>12</v>
      </c>
      <c r="E8" s="3" t="s">
        <v>14</v>
      </c>
      <c r="F8" s="3" t="s">
        <v>15</v>
      </c>
      <c r="G8" s="4">
        <v>28.5</v>
      </c>
      <c r="H8" s="4">
        <f t="shared" si="0"/>
        <v>256.5</v>
      </c>
      <c r="I8" s="8">
        <f t="shared" si="1"/>
        <v>3.8250000000000002</v>
      </c>
      <c r="J8" s="4">
        <f t="shared" si="2"/>
        <v>20</v>
      </c>
      <c r="L8" s="22">
        <v>8.4</v>
      </c>
    </row>
    <row r="9" spans="1:13" x14ac:dyDescent="0.2">
      <c r="A9" s="21">
        <v>8</v>
      </c>
      <c r="B9" s="3" t="s">
        <v>33</v>
      </c>
      <c r="C9" s="3" t="s">
        <v>17</v>
      </c>
      <c r="D9" s="3" t="s">
        <v>13</v>
      </c>
      <c r="E9" s="3" t="s">
        <v>14</v>
      </c>
      <c r="F9" s="3" t="s">
        <v>15</v>
      </c>
      <c r="G9" s="4">
        <v>46.4</v>
      </c>
      <c r="H9" s="4">
        <f t="shared" si="0"/>
        <v>417.59999999999997</v>
      </c>
      <c r="I9" s="8">
        <f t="shared" si="1"/>
        <v>11.879999999999999</v>
      </c>
      <c r="J9" s="4">
        <f t="shared" si="2"/>
        <v>20</v>
      </c>
      <c r="L9" s="22">
        <v>8.1</v>
      </c>
    </row>
    <row r="10" spans="1:13" x14ac:dyDescent="0.2">
      <c r="A10" s="23">
        <v>9</v>
      </c>
      <c r="B10" s="5" t="s">
        <v>44</v>
      </c>
      <c r="C10" s="5" t="s">
        <v>17</v>
      </c>
      <c r="D10" s="5" t="s">
        <v>36</v>
      </c>
      <c r="E10" s="5" t="s">
        <v>35</v>
      </c>
      <c r="F10" s="5" t="s">
        <v>15</v>
      </c>
      <c r="G10" s="4">
        <v>50.9</v>
      </c>
      <c r="H10" s="4">
        <f t="shared" si="0"/>
        <v>458.09999999999997</v>
      </c>
      <c r="I10" s="8">
        <f t="shared" si="1"/>
        <v>13.904999999999998</v>
      </c>
      <c r="J10" s="4">
        <f t="shared" si="2"/>
        <v>20</v>
      </c>
      <c r="L10" s="22">
        <v>8.1999999999999993</v>
      </c>
    </row>
    <row r="11" spans="1:13" x14ac:dyDescent="0.2">
      <c r="A11" s="23">
        <v>10</v>
      </c>
      <c r="B11" s="5" t="s">
        <v>47</v>
      </c>
      <c r="C11" s="5" t="s">
        <v>17</v>
      </c>
      <c r="D11" s="5" t="s">
        <v>37</v>
      </c>
      <c r="E11" s="5" t="s">
        <v>35</v>
      </c>
      <c r="F11" s="5" t="s">
        <v>15</v>
      </c>
      <c r="G11" s="10" t="s">
        <v>79</v>
      </c>
      <c r="H11" s="10" t="e">
        <f t="shared" si="0"/>
        <v>#VALUE!</v>
      </c>
      <c r="I11" s="11" t="e">
        <f t="shared" si="1"/>
        <v>#VALUE!</v>
      </c>
      <c r="J11" s="10" t="e">
        <f t="shared" si="2"/>
        <v>#VALUE!</v>
      </c>
      <c r="K11" s="42"/>
      <c r="L11" s="43">
        <v>7.1</v>
      </c>
      <c r="M11" t="s">
        <v>76</v>
      </c>
    </row>
    <row r="12" spans="1:13" x14ac:dyDescent="0.2">
      <c r="A12" s="23">
        <v>11</v>
      </c>
      <c r="B12" s="5" t="s">
        <v>49</v>
      </c>
      <c r="C12" s="5" t="s">
        <v>17</v>
      </c>
      <c r="D12" s="5" t="s">
        <v>38</v>
      </c>
      <c r="E12" s="5" t="s">
        <v>35</v>
      </c>
      <c r="F12" s="5" t="s">
        <v>15</v>
      </c>
      <c r="G12" s="4">
        <v>46.2</v>
      </c>
      <c r="H12" s="4">
        <f t="shared" si="0"/>
        <v>415.8</v>
      </c>
      <c r="I12" s="8">
        <f t="shared" si="1"/>
        <v>11.790000000000001</v>
      </c>
      <c r="J12" s="4">
        <f t="shared" si="2"/>
        <v>20</v>
      </c>
      <c r="L12" s="22">
        <v>8.6999999999999993</v>
      </c>
    </row>
    <row r="13" spans="1:13" x14ac:dyDescent="0.2">
      <c r="A13" s="23">
        <v>12</v>
      </c>
      <c r="B13" s="5" t="s">
        <v>51</v>
      </c>
      <c r="C13" s="5" t="s">
        <v>17</v>
      </c>
      <c r="D13" s="5" t="s">
        <v>39</v>
      </c>
      <c r="E13" s="5" t="s">
        <v>35</v>
      </c>
      <c r="F13" s="5" t="s">
        <v>15</v>
      </c>
      <c r="G13" s="4">
        <v>41.9</v>
      </c>
      <c r="H13" s="4">
        <f t="shared" si="0"/>
        <v>377.09999999999997</v>
      </c>
      <c r="I13" s="8">
        <f t="shared" si="1"/>
        <v>9.8549999999999986</v>
      </c>
      <c r="J13" s="4">
        <f t="shared" si="2"/>
        <v>20</v>
      </c>
      <c r="L13" s="22">
        <v>8.1999999999999993</v>
      </c>
    </row>
    <row r="14" spans="1:13" x14ac:dyDescent="0.2">
      <c r="A14" s="23">
        <v>13</v>
      </c>
      <c r="B14" s="5" t="s">
        <v>52</v>
      </c>
      <c r="C14" s="5" t="s">
        <v>17</v>
      </c>
      <c r="D14" s="5" t="s">
        <v>40</v>
      </c>
      <c r="E14" s="5" t="s">
        <v>35</v>
      </c>
      <c r="F14" s="5" t="s">
        <v>15</v>
      </c>
      <c r="G14" s="4">
        <v>26.6</v>
      </c>
      <c r="H14" s="4">
        <f t="shared" si="0"/>
        <v>239.4</v>
      </c>
      <c r="I14" s="8">
        <f t="shared" si="1"/>
        <v>2.97</v>
      </c>
      <c r="J14" s="4">
        <f t="shared" si="2"/>
        <v>20</v>
      </c>
      <c r="L14" s="22">
        <v>7.9</v>
      </c>
    </row>
    <row r="15" spans="1:13" x14ac:dyDescent="0.2">
      <c r="A15" s="23">
        <v>14</v>
      </c>
      <c r="B15" s="5" t="s">
        <v>54</v>
      </c>
      <c r="C15" s="5" t="s">
        <v>17</v>
      </c>
      <c r="D15" s="5" t="s">
        <v>41</v>
      </c>
      <c r="E15" s="5" t="s">
        <v>35</v>
      </c>
      <c r="F15" s="5" t="s">
        <v>15</v>
      </c>
      <c r="G15" s="10" t="s">
        <v>80</v>
      </c>
      <c r="H15" s="10" t="e">
        <f t="shared" si="0"/>
        <v>#VALUE!</v>
      </c>
      <c r="I15" s="11" t="e">
        <f t="shared" si="1"/>
        <v>#VALUE!</v>
      </c>
      <c r="J15" s="10" t="e">
        <f t="shared" si="2"/>
        <v>#VALUE!</v>
      </c>
      <c r="K15" s="42"/>
      <c r="L15" s="43">
        <v>7.8</v>
      </c>
      <c r="M15" t="s">
        <v>76</v>
      </c>
    </row>
    <row r="16" spans="1:13" x14ac:dyDescent="0.2">
      <c r="A16" s="23">
        <v>15</v>
      </c>
      <c r="B16" s="5" t="s">
        <v>56</v>
      </c>
      <c r="C16" s="5" t="s">
        <v>17</v>
      </c>
      <c r="D16" s="5" t="s">
        <v>42</v>
      </c>
      <c r="E16" s="5" t="s">
        <v>35</v>
      </c>
      <c r="F16" s="5" t="s">
        <v>15</v>
      </c>
      <c r="G16" s="4">
        <v>32.9</v>
      </c>
      <c r="H16" s="4">
        <f t="shared" si="0"/>
        <v>296.09999999999997</v>
      </c>
      <c r="I16" s="8">
        <f t="shared" si="1"/>
        <v>5.8049999999999979</v>
      </c>
      <c r="J16" s="4">
        <f t="shared" si="2"/>
        <v>20</v>
      </c>
      <c r="L16" s="22">
        <v>8.3000000000000007</v>
      </c>
    </row>
    <row r="17" spans="1:13" ht="17" thickBot="1" x14ac:dyDescent="0.25">
      <c r="A17" s="24">
        <v>16</v>
      </c>
      <c r="B17" s="25" t="s">
        <v>58</v>
      </c>
      <c r="C17" s="25" t="s">
        <v>17</v>
      </c>
      <c r="D17" s="25" t="s">
        <v>43</v>
      </c>
      <c r="E17" s="25" t="s">
        <v>35</v>
      </c>
      <c r="F17" s="25" t="s">
        <v>15</v>
      </c>
      <c r="G17" s="39">
        <v>26.4</v>
      </c>
      <c r="H17" s="39">
        <f t="shared" si="0"/>
        <v>237.6</v>
      </c>
      <c r="I17" s="40">
        <f t="shared" si="1"/>
        <v>2.88</v>
      </c>
      <c r="J17" s="39">
        <f t="shared" si="2"/>
        <v>20</v>
      </c>
      <c r="K17" s="41"/>
      <c r="L17" s="27">
        <v>6.1</v>
      </c>
      <c r="M17" t="s">
        <v>76</v>
      </c>
    </row>
    <row r="18" spans="1:13" x14ac:dyDescent="0.2">
      <c r="A18" s="15">
        <v>17</v>
      </c>
      <c r="B18" s="16" t="s">
        <v>20</v>
      </c>
      <c r="C18" s="16" t="s">
        <v>18</v>
      </c>
      <c r="D18" s="16" t="s">
        <v>6</v>
      </c>
      <c r="E18" s="16" t="s">
        <v>14</v>
      </c>
      <c r="F18" s="16" t="s">
        <v>15</v>
      </c>
      <c r="G18" s="17">
        <v>1165.5999999999999</v>
      </c>
      <c r="H18" s="17">
        <f t="shared" si="0"/>
        <v>10490.4</v>
      </c>
      <c r="I18" s="18">
        <f t="shared" si="1"/>
        <v>515.52</v>
      </c>
      <c r="J18" s="17">
        <f t="shared" si="2"/>
        <v>20</v>
      </c>
      <c r="K18" s="19"/>
      <c r="L18" s="20">
        <v>7.7</v>
      </c>
    </row>
    <row r="19" spans="1:13" x14ac:dyDescent="0.2">
      <c r="A19" s="21">
        <v>18</v>
      </c>
      <c r="B19" s="3" t="s">
        <v>22</v>
      </c>
      <c r="C19" s="3" t="s">
        <v>18</v>
      </c>
      <c r="D19" s="3" t="s">
        <v>7</v>
      </c>
      <c r="E19" s="3" t="s">
        <v>14</v>
      </c>
      <c r="F19" s="3" t="s">
        <v>15</v>
      </c>
      <c r="G19" s="4">
        <v>727.7</v>
      </c>
      <c r="H19" s="4">
        <f t="shared" si="0"/>
        <v>6549.3</v>
      </c>
      <c r="I19" s="8">
        <f t="shared" si="1"/>
        <v>318.46500000000003</v>
      </c>
      <c r="J19" s="4">
        <f t="shared" si="2"/>
        <v>20</v>
      </c>
      <c r="L19" s="22">
        <v>8.1</v>
      </c>
    </row>
    <row r="20" spans="1:13" x14ac:dyDescent="0.2">
      <c r="A20" s="21">
        <v>19</v>
      </c>
      <c r="B20" s="3" t="s">
        <v>24</v>
      </c>
      <c r="C20" s="3" t="s">
        <v>18</v>
      </c>
      <c r="D20" s="3" t="s">
        <v>8</v>
      </c>
      <c r="E20" s="3" t="s">
        <v>14</v>
      </c>
      <c r="F20" s="3" t="s">
        <v>15</v>
      </c>
      <c r="G20" s="4">
        <v>1125.2</v>
      </c>
      <c r="H20" s="4">
        <f t="shared" si="0"/>
        <v>10126.800000000001</v>
      </c>
      <c r="I20" s="8">
        <f t="shared" si="1"/>
        <v>497.34000000000003</v>
      </c>
      <c r="J20" s="4">
        <f t="shared" si="2"/>
        <v>20</v>
      </c>
      <c r="L20" s="22">
        <v>7.5</v>
      </c>
    </row>
    <row r="21" spans="1:13" x14ac:dyDescent="0.2">
      <c r="A21" s="21">
        <v>20</v>
      </c>
      <c r="B21" s="3" t="s">
        <v>26</v>
      </c>
      <c r="C21" s="3" t="s">
        <v>18</v>
      </c>
      <c r="D21" s="3" t="s">
        <v>9</v>
      </c>
      <c r="E21" s="3" t="s">
        <v>14</v>
      </c>
      <c r="F21" s="3" t="s">
        <v>15</v>
      </c>
      <c r="G21" s="4">
        <v>626.5</v>
      </c>
      <c r="H21" s="4">
        <f t="shared" si="0"/>
        <v>5638.5</v>
      </c>
      <c r="I21" s="8">
        <f t="shared" si="1"/>
        <v>272.92500000000001</v>
      </c>
      <c r="J21" s="4">
        <f t="shared" si="2"/>
        <v>20</v>
      </c>
      <c r="L21" s="22">
        <v>7.7</v>
      </c>
    </row>
    <row r="22" spans="1:13" x14ac:dyDescent="0.2">
      <c r="A22" s="21">
        <v>21</v>
      </c>
      <c r="B22" s="3" t="s">
        <v>28</v>
      </c>
      <c r="C22" s="3" t="s">
        <v>18</v>
      </c>
      <c r="D22" s="3" t="s">
        <v>10</v>
      </c>
      <c r="E22" s="3" t="s">
        <v>14</v>
      </c>
      <c r="F22" s="3" t="s">
        <v>15</v>
      </c>
      <c r="G22" s="4">
        <v>520.1</v>
      </c>
      <c r="H22" s="4">
        <f t="shared" si="0"/>
        <v>4680.9000000000005</v>
      </c>
      <c r="I22" s="8">
        <f t="shared" si="1"/>
        <v>225.04500000000002</v>
      </c>
      <c r="J22" s="4">
        <f t="shared" si="2"/>
        <v>20</v>
      </c>
      <c r="L22" s="22">
        <v>7.9</v>
      </c>
    </row>
    <row r="23" spans="1:13" x14ac:dyDescent="0.2">
      <c r="A23" s="21">
        <v>22</v>
      </c>
      <c r="B23" s="3" t="s">
        <v>30</v>
      </c>
      <c r="C23" s="3" t="s">
        <v>18</v>
      </c>
      <c r="D23" s="3" t="s">
        <v>11</v>
      </c>
      <c r="E23" s="3" t="s">
        <v>14</v>
      </c>
      <c r="F23" s="3" t="s">
        <v>15</v>
      </c>
      <c r="G23" s="4">
        <v>835.6</v>
      </c>
      <c r="H23" s="4">
        <f t="shared" si="0"/>
        <v>7520.4000000000005</v>
      </c>
      <c r="I23" s="8">
        <f t="shared" si="1"/>
        <v>367.02000000000004</v>
      </c>
      <c r="J23" s="4">
        <f t="shared" si="2"/>
        <v>20</v>
      </c>
      <c r="L23" s="22">
        <v>7.6</v>
      </c>
    </row>
    <row r="24" spans="1:13" x14ac:dyDescent="0.2">
      <c r="A24" s="21">
        <v>23</v>
      </c>
      <c r="B24" s="3" t="s">
        <v>32</v>
      </c>
      <c r="C24" s="3" t="s">
        <v>18</v>
      </c>
      <c r="D24" s="3" t="s">
        <v>12</v>
      </c>
      <c r="E24" s="3" t="s">
        <v>14</v>
      </c>
      <c r="F24" s="3" t="s">
        <v>15</v>
      </c>
      <c r="G24" s="4">
        <v>250</v>
      </c>
      <c r="H24" s="4">
        <f t="shared" si="0"/>
        <v>2250</v>
      </c>
      <c r="I24" s="8">
        <f t="shared" si="1"/>
        <v>103.5</v>
      </c>
      <c r="J24" s="4">
        <f t="shared" si="2"/>
        <v>20</v>
      </c>
      <c r="L24" s="28"/>
    </row>
    <row r="25" spans="1:13" x14ac:dyDescent="0.2">
      <c r="A25" s="21">
        <v>24</v>
      </c>
      <c r="B25" s="3" t="s">
        <v>34</v>
      </c>
      <c r="C25" s="3" t="s">
        <v>18</v>
      </c>
      <c r="D25" s="3" t="s">
        <v>13</v>
      </c>
      <c r="E25" s="3" t="s">
        <v>14</v>
      </c>
      <c r="F25" s="3" t="s">
        <v>15</v>
      </c>
      <c r="G25" s="4">
        <v>467.4</v>
      </c>
      <c r="H25" s="4">
        <f t="shared" si="0"/>
        <v>4206.5999999999995</v>
      </c>
      <c r="I25" s="8">
        <f t="shared" si="1"/>
        <v>201.32999999999998</v>
      </c>
      <c r="J25" s="4">
        <f t="shared" si="2"/>
        <v>20</v>
      </c>
      <c r="L25" s="28"/>
    </row>
    <row r="26" spans="1:13" x14ac:dyDescent="0.2">
      <c r="A26" s="23">
        <v>25</v>
      </c>
      <c r="B26" s="5" t="s">
        <v>45</v>
      </c>
      <c r="C26" s="5" t="s">
        <v>18</v>
      </c>
      <c r="D26" s="5" t="s">
        <v>36</v>
      </c>
      <c r="E26" s="5" t="s">
        <v>35</v>
      </c>
      <c r="F26" s="5" t="s">
        <v>15</v>
      </c>
      <c r="G26" s="4">
        <v>897.9</v>
      </c>
      <c r="H26" s="4">
        <f t="shared" si="0"/>
        <v>8081.0999999999995</v>
      </c>
      <c r="I26" s="8">
        <f t="shared" si="1"/>
        <v>395.05499999999995</v>
      </c>
      <c r="J26" s="4">
        <f t="shared" si="2"/>
        <v>20</v>
      </c>
      <c r="K26" s="4">
        <v>2.1</v>
      </c>
      <c r="L26" s="28"/>
    </row>
    <row r="27" spans="1:13" x14ac:dyDescent="0.2">
      <c r="A27" s="23">
        <v>26</v>
      </c>
      <c r="B27" s="5" t="s">
        <v>46</v>
      </c>
      <c r="C27" s="5" t="s">
        <v>18</v>
      </c>
      <c r="D27" s="5" t="s">
        <v>37</v>
      </c>
      <c r="E27" s="5" t="s">
        <v>35</v>
      </c>
      <c r="F27" s="5" t="s">
        <v>15</v>
      </c>
      <c r="G27" s="4">
        <v>882.3</v>
      </c>
      <c r="H27" s="4">
        <f t="shared" si="0"/>
        <v>7940.7</v>
      </c>
      <c r="I27" s="8">
        <f t="shared" si="1"/>
        <v>388.03499999999997</v>
      </c>
      <c r="J27" s="4">
        <f t="shared" si="2"/>
        <v>20</v>
      </c>
      <c r="K27" s="4">
        <v>2.09</v>
      </c>
      <c r="L27" s="28"/>
    </row>
    <row r="28" spans="1:13" x14ac:dyDescent="0.2">
      <c r="A28" s="23">
        <v>27</v>
      </c>
      <c r="B28" s="5" t="s">
        <v>48</v>
      </c>
      <c r="C28" s="5" t="s">
        <v>18</v>
      </c>
      <c r="D28" s="5" t="s">
        <v>38</v>
      </c>
      <c r="E28" s="5" t="s">
        <v>35</v>
      </c>
      <c r="F28" s="5" t="s">
        <v>15</v>
      </c>
      <c r="G28" s="4">
        <v>491.5</v>
      </c>
      <c r="H28" s="4">
        <f t="shared" si="0"/>
        <v>4423.5</v>
      </c>
      <c r="I28" s="8">
        <f t="shared" si="1"/>
        <v>212.17500000000001</v>
      </c>
      <c r="J28" s="4">
        <f t="shared" si="2"/>
        <v>20</v>
      </c>
      <c r="K28" s="4">
        <v>2.14</v>
      </c>
      <c r="L28" s="28"/>
    </row>
    <row r="29" spans="1:13" x14ac:dyDescent="0.2">
      <c r="A29" s="23">
        <v>28</v>
      </c>
      <c r="B29" s="5" t="s">
        <v>50</v>
      </c>
      <c r="C29" s="5" t="s">
        <v>18</v>
      </c>
      <c r="D29" s="5" t="s">
        <v>39</v>
      </c>
      <c r="E29" s="5" t="s">
        <v>35</v>
      </c>
      <c r="F29" s="5" t="s">
        <v>15</v>
      </c>
      <c r="G29" s="4">
        <v>554.5</v>
      </c>
      <c r="H29" s="4">
        <f t="shared" si="0"/>
        <v>4990.5</v>
      </c>
      <c r="I29" s="8">
        <f t="shared" si="1"/>
        <v>240.52500000000001</v>
      </c>
      <c r="J29" s="4">
        <f t="shared" si="2"/>
        <v>20</v>
      </c>
      <c r="K29" s="4">
        <v>2.06</v>
      </c>
      <c r="L29" s="28"/>
    </row>
    <row r="30" spans="1:13" x14ac:dyDescent="0.2">
      <c r="A30" s="23">
        <v>29</v>
      </c>
      <c r="B30" s="5" t="s">
        <v>53</v>
      </c>
      <c r="C30" s="5" t="s">
        <v>18</v>
      </c>
      <c r="D30" s="5" t="s">
        <v>40</v>
      </c>
      <c r="E30" s="5" t="s">
        <v>35</v>
      </c>
      <c r="F30" s="5" t="s">
        <v>15</v>
      </c>
      <c r="G30" s="10">
        <v>65.599999999999994</v>
      </c>
      <c r="H30" s="10">
        <f t="shared" si="0"/>
        <v>590.4</v>
      </c>
      <c r="I30" s="11">
        <f t="shared" si="1"/>
        <v>20.52</v>
      </c>
      <c r="J30" s="10">
        <f t="shared" si="2"/>
        <v>20</v>
      </c>
      <c r="K30" s="10">
        <v>1.81</v>
      </c>
      <c r="L30" s="28" t="s">
        <v>75</v>
      </c>
    </row>
    <row r="31" spans="1:13" x14ac:dyDescent="0.2">
      <c r="A31" s="23">
        <v>30</v>
      </c>
      <c r="B31" s="5" t="s">
        <v>55</v>
      </c>
      <c r="C31" s="5" t="s">
        <v>18</v>
      </c>
      <c r="D31" s="5" t="s">
        <v>41</v>
      </c>
      <c r="E31" s="5" t="s">
        <v>35</v>
      </c>
      <c r="F31" s="5" t="s">
        <v>15</v>
      </c>
      <c r="G31" s="4">
        <v>602.6</v>
      </c>
      <c r="H31" s="4">
        <f t="shared" si="0"/>
        <v>5423.4000000000005</v>
      </c>
      <c r="I31" s="8">
        <f t="shared" si="1"/>
        <v>262.17</v>
      </c>
      <c r="J31" s="4">
        <f t="shared" si="2"/>
        <v>20</v>
      </c>
      <c r="K31" s="4">
        <v>2.12</v>
      </c>
      <c r="L31" s="28"/>
    </row>
    <row r="32" spans="1:13" x14ac:dyDescent="0.2">
      <c r="A32" s="23">
        <v>31</v>
      </c>
      <c r="B32" s="5" t="s">
        <v>57</v>
      </c>
      <c r="C32" s="5" t="s">
        <v>18</v>
      </c>
      <c r="D32" s="5" t="s">
        <v>42</v>
      </c>
      <c r="E32" s="5" t="s">
        <v>35</v>
      </c>
      <c r="F32" s="5" t="s">
        <v>15</v>
      </c>
      <c r="G32" s="4">
        <v>690.9</v>
      </c>
      <c r="H32" s="4">
        <f t="shared" si="0"/>
        <v>6218.0999999999995</v>
      </c>
      <c r="I32" s="8">
        <f t="shared" si="1"/>
        <v>301.90499999999997</v>
      </c>
      <c r="J32" s="4">
        <f t="shared" si="2"/>
        <v>20</v>
      </c>
      <c r="K32" s="4">
        <v>2.0699999999999998</v>
      </c>
      <c r="L32" s="28"/>
    </row>
    <row r="33" spans="1:12" ht="17" thickBot="1" x14ac:dyDescent="0.25">
      <c r="A33" s="24">
        <v>32</v>
      </c>
      <c r="B33" s="25" t="s">
        <v>59</v>
      </c>
      <c r="C33" s="25" t="s">
        <v>18</v>
      </c>
      <c r="D33" s="25" t="s">
        <v>43</v>
      </c>
      <c r="E33" s="25" t="s">
        <v>35</v>
      </c>
      <c r="F33" s="25" t="s">
        <v>15</v>
      </c>
      <c r="G33" s="26">
        <v>384.3</v>
      </c>
      <c r="H33" s="26">
        <f t="shared" si="0"/>
        <v>3458.7000000000003</v>
      </c>
      <c r="I33" s="29">
        <f t="shared" si="1"/>
        <v>163.935</v>
      </c>
      <c r="J33" s="26">
        <f t="shared" si="2"/>
        <v>20</v>
      </c>
      <c r="K33" s="26">
        <v>1.99</v>
      </c>
      <c r="L33" s="30"/>
    </row>
    <row r="34" spans="1:12" x14ac:dyDescent="0.2">
      <c r="A34" s="31">
        <v>33</v>
      </c>
      <c r="B34" s="32" t="s">
        <v>68</v>
      </c>
      <c r="C34" s="32" t="s">
        <v>17</v>
      </c>
      <c r="D34" s="32" t="s">
        <v>65</v>
      </c>
      <c r="E34" s="32" t="s">
        <v>35</v>
      </c>
      <c r="F34" s="32" t="s">
        <v>15</v>
      </c>
      <c r="G34" s="32">
        <v>251.7</v>
      </c>
      <c r="H34" s="32">
        <f>G34*10</f>
        <v>2517</v>
      </c>
      <c r="I34" s="33">
        <f>(H34-200)/20</f>
        <v>115.85</v>
      </c>
      <c r="J34" s="32">
        <f>H34/(10+I34)</f>
        <v>20</v>
      </c>
      <c r="K34" s="32">
        <v>2.0099999999999998</v>
      </c>
      <c r="L34" s="34"/>
    </row>
    <row r="35" spans="1:12" x14ac:dyDescent="0.2">
      <c r="A35" s="35">
        <v>34</v>
      </c>
      <c r="B35" s="13" t="s">
        <v>69</v>
      </c>
      <c r="C35" s="13" t="s">
        <v>17</v>
      </c>
      <c r="D35" s="13" t="s">
        <v>66</v>
      </c>
      <c r="E35" s="13" t="s">
        <v>35</v>
      </c>
      <c r="F35" s="13" t="s">
        <v>15</v>
      </c>
      <c r="G35" s="13">
        <v>335.8</v>
      </c>
      <c r="H35" s="13">
        <f t="shared" ref="H35:H38" si="3">G35*10</f>
        <v>3358</v>
      </c>
      <c r="I35" s="14">
        <f t="shared" ref="I35:I38" si="4">(H35-200)/20</f>
        <v>157.9</v>
      </c>
      <c r="J35" s="13">
        <f t="shared" ref="J35:J38" si="5">H35/(10+I35)</f>
        <v>20</v>
      </c>
      <c r="K35" s="13">
        <v>2.0699999999999998</v>
      </c>
      <c r="L35" s="28"/>
    </row>
    <row r="36" spans="1:12" x14ac:dyDescent="0.2">
      <c r="A36" s="35">
        <v>35</v>
      </c>
      <c r="B36" s="13" t="s">
        <v>70</v>
      </c>
      <c r="C36" s="13" t="s">
        <v>17</v>
      </c>
      <c r="D36" s="13" t="s">
        <v>67</v>
      </c>
      <c r="E36" s="13" t="s">
        <v>35</v>
      </c>
      <c r="F36" s="13" t="s">
        <v>15</v>
      </c>
      <c r="G36" s="13">
        <v>297.10000000000002</v>
      </c>
      <c r="H36" s="13">
        <f t="shared" si="3"/>
        <v>2971</v>
      </c>
      <c r="I36" s="14">
        <f t="shared" si="4"/>
        <v>138.55000000000001</v>
      </c>
      <c r="J36" s="13">
        <f t="shared" si="5"/>
        <v>20</v>
      </c>
      <c r="K36" s="13">
        <v>2.06</v>
      </c>
      <c r="L36" s="28"/>
    </row>
    <row r="37" spans="1:12" x14ac:dyDescent="0.2">
      <c r="A37" s="35">
        <v>36</v>
      </c>
      <c r="B37" s="13" t="s">
        <v>71</v>
      </c>
      <c r="C37" s="13" t="s">
        <v>18</v>
      </c>
      <c r="D37" s="13" t="s">
        <v>66</v>
      </c>
      <c r="E37" s="13" t="s">
        <v>35</v>
      </c>
      <c r="F37" s="13" t="s">
        <v>15</v>
      </c>
      <c r="G37" s="13">
        <v>305.60000000000002</v>
      </c>
      <c r="H37" s="13">
        <f t="shared" si="3"/>
        <v>3056</v>
      </c>
      <c r="I37" s="14">
        <f t="shared" si="4"/>
        <v>142.80000000000001</v>
      </c>
      <c r="J37" s="13">
        <f t="shared" si="5"/>
        <v>20</v>
      </c>
      <c r="K37" s="13">
        <v>2.0699999999999998</v>
      </c>
      <c r="L37" s="28"/>
    </row>
    <row r="38" spans="1:12" ht="17" thickBot="1" x14ac:dyDescent="0.25">
      <c r="A38" s="36">
        <v>37</v>
      </c>
      <c r="B38" s="37" t="s">
        <v>72</v>
      </c>
      <c r="C38" s="37" t="s">
        <v>18</v>
      </c>
      <c r="D38" s="37" t="s">
        <v>67</v>
      </c>
      <c r="E38" s="37" t="s">
        <v>35</v>
      </c>
      <c r="F38" s="37" t="s">
        <v>15</v>
      </c>
      <c r="G38" s="37">
        <v>522.1</v>
      </c>
      <c r="H38" s="37">
        <f t="shared" si="3"/>
        <v>5221</v>
      </c>
      <c r="I38" s="38">
        <f t="shared" si="4"/>
        <v>251.05</v>
      </c>
      <c r="J38" s="37">
        <f t="shared" si="5"/>
        <v>20</v>
      </c>
      <c r="K38" s="37">
        <v>2.11</v>
      </c>
      <c r="L38" s="30"/>
    </row>
  </sheetData>
  <sortState xmlns:xlrd2="http://schemas.microsoft.com/office/spreadsheetml/2017/richdata2" ref="A2:J33">
    <sortCondition ref="A2:A33"/>
  </sortState>
  <pageMargins left="0.7" right="0.7" top="0.75" bottom="0.75" header="0.3" footer="0.3"/>
  <pageSetup scale="64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8D00-7BE9-1B4A-A28B-9601D04B78A2}">
  <dimension ref="A1:J35"/>
  <sheetViews>
    <sheetView tabSelected="1" workbookViewId="0">
      <selection activeCell="I16" sqref="I16"/>
    </sheetView>
  </sheetViews>
  <sheetFormatPr baseColWidth="10" defaultRowHeight="16" x14ac:dyDescent="0.2"/>
  <cols>
    <col min="2" max="2" width="18.33203125" customWidth="1"/>
    <col min="3" max="3" width="16.1640625" customWidth="1"/>
    <col min="4" max="4" width="19.83203125" customWidth="1"/>
  </cols>
  <sheetData>
    <row r="1" spans="1:10" ht="17" thickBot="1" x14ac:dyDescent="0.25">
      <c r="A1" s="54" t="s">
        <v>0</v>
      </c>
      <c r="B1" s="55" t="s">
        <v>2</v>
      </c>
      <c r="C1" s="55" t="s">
        <v>16</v>
      </c>
      <c r="D1" s="55" t="s">
        <v>1</v>
      </c>
      <c r="E1" s="55" t="s">
        <v>3</v>
      </c>
      <c r="F1" s="56" t="s">
        <v>4</v>
      </c>
    </row>
    <row r="2" spans="1:10" x14ac:dyDescent="0.2">
      <c r="A2" s="48">
        <v>1</v>
      </c>
      <c r="B2" s="16" t="s">
        <v>19</v>
      </c>
      <c r="C2" s="49" t="s">
        <v>17</v>
      </c>
      <c r="D2" s="16" t="s">
        <v>6</v>
      </c>
      <c r="E2" s="49" t="s">
        <v>14</v>
      </c>
      <c r="F2" s="53" t="s">
        <v>15</v>
      </c>
    </row>
    <row r="3" spans="1:10" x14ac:dyDescent="0.2">
      <c r="A3" s="21">
        <v>2</v>
      </c>
      <c r="B3" s="3" t="s">
        <v>21</v>
      </c>
      <c r="C3" s="3" t="s">
        <v>17</v>
      </c>
      <c r="D3" s="3" t="s">
        <v>7</v>
      </c>
      <c r="E3" s="3" t="s">
        <v>14</v>
      </c>
      <c r="F3" s="50" t="s">
        <v>15</v>
      </c>
    </row>
    <row r="4" spans="1:10" x14ac:dyDescent="0.2">
      <c r="A4" s="21">
        <v>3</v>
      </c>
      <c r="B4" s="3" t="s">
        <v>23</v>
      </c>
      <c r="C4" s="3" t="s">
        <v>17</v>
      </c>
      <c r="D4" s="3" t="s">
        <v>8</v>
      </c>
      <c r="E4" s="3" t="s">
        <v>14</v>
      </c>
      <c r="F4" s="50" t="s">
        <v>15</v>
      </c>
    </row>
    <row r="5" spans="1:10" x14ac:dyDescent="0.2">
      <c r="A5" s="21">
        <v>4</v>
      </c>
      <c r="B5" s="3" t="s">
        <v>25</v>
      </c>
      <c r="C5" s="3" t="s">
        <v>17</v>
      </c>
      <c r="D5" s="3" t="s">
        <v>9</v>
      </c>
      <c r="E5" s="3" t="s">
        <v>14</v>
      </c>
      <c r="F5" s="50" t="s">
        <v>15</v>
      </c>
    </row>
    <row r="6" spans="1:10" x14ac:dyDescent="0.2">
      <c r="A6" s="21">
        <v>5</v>
      </c>
      <c r="B6" s="3" t="s">
        <v>27</v>
      </c>
      <c r="C6" s="3" t="s">
        <v>17</v>
      </c>
      <c r="D6" s="3" t="s">
        <v>10</v>
      </c>
      <c r="E6" s="3" t="s">
        <v>14</v>
      </c>
      <c r="F6" s="50" t="s">
        <v>15</v>
      </c>
    </row>
    <row r="7" spans="1:10" x14ac:dyDescent="0.2">
      <c r="A7" s="21">
        <v>6</v>
      </c>
      <c r="B7" s="3" t="s">
        <v>29</v>
      </c>
      <c r="C7" s="3" t="s">
        <v>17</v>
      </c>
      <c r="D7" s="3" t="s">
        <v>11</v>
      </c>
      <c r="E7" s="3" t="s">
        <v>14</v>
      </c>
      <c r="F7" s="50" t="s">
        <v>15</v>
      </c>
    </row>
    <row r="8" spans="1:10" x14ac:dyDescent="0.2">
      <c r="A8" s="21">
        <v>7</v>
      </c>
      <c r="B8" s="3" t="s">
        <v>31</v>
      </c>
      <c r="C8" s="3" t="s">
        <v>17</v>
      </c>
      <c r="D8" s="3" t="s">
        <v>12</v>
      </c>
      <c r="E8" s="3" t="s">
        <v>14</v>
      </c>
      <c r="F8" s="50" t="s">
        <v>15</v>
      </c>
    </row>
    <row r="9" spans="1:10" x14ac:dyDescent="0.2">
      <c r="A9" s="21">
        <v>8</v>
      </c>
      <c r="B9" s="3" t="s">
        <v>33</v>
      </c>
      <c r="C9" s="3" t="s">
        <v>17</v>
      </c>
      <c r="D9" s="3" t="s">
        <v>13</v>
      </c>
      <c r="E9" s="3" t="s">
        <v>14</v>
      </c>
      <c r="F9" s="50" t="s">
        <v>15</v>
      </c>
    </row>
    <row r="10" spans="1:10" ht="17" thickBot="1" x14ac:dyDescent="0.25">
      <c r="A10" s="23">
        <v>9</v>
      </c>
      <c r="B10" s="5" t="s">
        <v>44</v>
      </c>
      <c r="C10" s="5" t="s">
        <v>17</v>
      </c>
      <c r="D10" s="5" t="s">
        <v>36</v>
      </c>
      <c r="E10" s="5" t="s">
        <v>35</v>
      </c>
      <c r="F10" s="51" t="s">
        <v>15</v>
      </c>
      <c r="G10" s="69" t="s">
        <v>83</v>
      </c>
      <c r="H10" s="64"/>
      <c r="I10" s="64"/>
      <c r="J10" s="64"/>
    </row>
    <row r="11" spans="1:10" x14ac:dyDescent="0.2">
      <c r="A11" s="23">
        <v>10</v>
      </c>
      <c r="B11" s="57" t="s">
        <v>68</v>
      </c>
      <c r="C11" s="58" t="s">
        <v>17</v>
      </c>
      <c r="D11" s="57" t="s">
        <v>65</v>
      </c>
      <c r="E11" s="58" t="s">
        <v>35</v>
      </c>
      <c r="F11" s="59" t="s">
        <v>15</v>
      </c>
      <c r="G11">
        <v>33</v>
      </c>
    </row>
    <row r="12" spans="1:10" x14ac:dyDescent="0.2">
      <c r="A12" s="23">
        <v>11</v>
      </c>
      <c r="B12" s="5" t="s">
        <v>49</v>
      </c>
      <c r="C12" s="5" t="s">
        <v>17</v>
      </c>
      <c r="D12" s="5" t="s">
        <v>38</v>
      </c>
      <c r="E12" s="5" t="s">
        <v>35</v>
      </c>
      <c r="F12" s="51" t="s">
        <v>15</v>
      </c>
    </row>
    <row r="13" spans="1:10" x14ac:dyDescent="0.2">
      <c r="A13" s="23">
        <v>12</v>
      </c>
      <c r="B13" s="5" t="s">
        <v>51</v>
      </c>
      <c r="C13" s="5" t="s">
        <v>17</v>
      </c>
      <c r="D13" s="5" t="s">
        <v>39</v>
      </c>
      <c r="E13" s="5" t="s">
        <v>35</v>
      </c>
      <c r="F13" s="51" t="s">
        <v>15</v>
      </c>
    </row>
    <row r="14" spans="1:10" x14ac:dyDescent="0.2">
      <c r="A14" s="23">
        <v>13</v>
      </c>
      <c r="B14" s="5" t="s">
        <v>52</v>
      </c>
      <c r="C14" s="5" t="s">
        <v>17</v>
      </c>
      <c r="D14" s="5" t="s">
        <v>40</v>
      </c>
      <c r="E14" s="5" t="s">
        <v>35</v>
      </c>
      <c r="F14" s="51" t="s">
        <v>15</v>
      </c>
    </row>
    <row r="15" spans="1:10" x14ac:dyDescent="0.2">
      <c r="A15" s="23">
        <v>14</v>
      </c>
      <c r="B15" s="58" t="s">
        <v>69</v>
      </c>
      <c r="C15" s="58" t="s">
        <v>17</v>
      </c>
      <c r="D15" s="58" t="s">
        <v>66</v>
      </c>
      <c r="E15" s="58" t="s">
        <v>35</v>
      </c>
      <c r="F15" s="59" t="s">
        <v>15</v>
      </c>
      <c r="G15">
        <v>34</v>
      </c>
    </row>
    <row r="16" spans="1:10" x14ac:dyDescent="0.2">
      <c r="A16" s="23">
        <v>15</v>
      </c>
      <c r="B16" s="5" t="s">
        <v>56</v>
      </c>
      <c r="C16" s="5" t="s">
        <v>17</v>
      </c>
      <c r="D16" s="5" t="s">
        <v>42</v>
      </c>
      <c r="E16" s="5" t="s">
        <v>35</v>
      </c>
      <c r="F16" s="51" t="s">
        <v>15</v>
      </c>
    </row>
    <row r="17" spans="1:7" ht="17" thickBot="1" x14ac:dyDescent="0.25">
      <c r="A17" s="24">
        <v>16</v>
      </c>
      <c r="B17" s="13" t="s">
        <v>70</v>
      </c>
      <c r="C17" s="60" t="s">
        <v>17</v>
      </c>
      <c r="D17" s="58" t="s">
        <v>67</v>
      </c>
      <c r="E17" s="60" t="s">
        <v>35</v>
      </c>
      <c r="F17" s="61" t="s">
        <v>15</v>
      </c>
      <c r="G17">
        <v>35</v>
      </c>
    </row>
    <row r="18" spans="1:7" x14ac:dyDescent="0.2">
      <c r="A18" s="15">
        <v>17</v>
      </c>
      <c r="B18" s="16" t="s">
        <v>20</v>
      </c>
      <c r="C18" s="16" t="s">
        <v>18</v>
      </c>
      <c r="D18" s="16" t="s">
        <v>6</v>
      </c>
      <c r="E18" s="16" t="s">
        <v>14</v>
      </c>
      <c r="F18" s="52" t="s">
        <v>15</v>
      </c>
    </row>
    <row r="19" spans="1:7" x14ac:dyDescent="0.2">
      <c r="A19" s="21">
        <v>18</v>
      </c>
      <c r="B19" s="3" t="s">
        <v>22</v>
      </c>
      <c r="C19" s="3" t="s">
        <v>18</v>
      </c>
      <c r="D19" s="3" t="s">
        <v>7</v>
      </c>
      <c r="E19" s="3" t="s">
        <v>14</v>
      </c>
      <c r="F19" s="50" t="s">
        <v>15</v>
      </c>
    </row>
    <row r="20" spans="1:7" x14ac:dyDescent="0.2">
      <c r="A20" s="21">
        <v>19</v>
      </c>
      <c r="B20" s="3" t="s">
        <v>24</v>
      </c>
      <c r="C20" s="3" t="s">
        <v>18</v>
      </c>
      <c r="D20" s="3" t="s">
        <v>8</v>
      </c>
      <c r="E20" s="3" t="s">
        <v>14</v>
      </c>
      <c r="F20" s="50" t="s">
        <v>15</v>
      </c>
    </row>
    <row r="21" spans="1:7" x14ac:dyDescent="0.2">
      <c r="A21" s="21">
        <v>20</v>
      </c>
      <c r="B21" s="3" t="s">
        <v>26</v>
      </c>
      <c r="C21" s="3" t="s">
        <v>18</v>
      </c>
      <c r="D21" s="3" t="s">
        <v>9</v>
      </c>
      <c r="E21" s="3" t="s">
        <v>14</v>
      </c>
      <c r="F21" s="50" t="s">
        <v>15</v>
      </c>
    </row>
    <row r="22" spans="1:7" x14ac:dyDescent="0.2">
      <c r="A22" s="21">
        <v>21</v>
      </c>
      <c r="B22" s="3" t="s">
        <v>28</v>
      </c>
      <c r="C22" s="3" t="s">
        <v>18</v>
      </c>
      <c r="D22" s="3" t="s">
        <v>10</v>
      </c>
      <c r="E22" s="3" t="s">
        <v>14</v>
      </c>
      <c r="F22" s="50" t="s">
        <v>15</v>
      </c>
    </row>
    <row r="23" spans="1:7" x14ac:dyDescent="0.2">
      <c r="A23" s="21">
        <v>22</v>
      </c>
      <c r="B23" s="3" t="s">
        <v>30</v>
      </c>
      <c r="C23" s="3" t="s">
        <v>18</v>
      </c>
      <c r="D23" s="3" t="s">
        <v>11</v>
      </c>
      <c r="E23" s="3" t="s">
        <v>14</v>
      </c>
      <c r="F23" s="50" t="s">
        <v>15</v>
      </c>
    </row>
    <row r="24" spans="1:7" x14ac:dyDescent="0.2">
      <c r="A24" s="21">
        <v>23</v>
      </c>
      <c r="B24" s="3" t="s">
        <v>32</v>
      </c>
      <c r="C24" s="3" t="s">
        <v>18</v>
      </c>
      <c r="D24" s="3" t="s">
        <v>12</v>
      </c>
      <c r="E24" s="3" t="s">
        <v>14</v>
      </c>
      <c r="F24" s="50" t="s">
        <v>15</v>
      </c>
    </row>
    <row r="25" spans="1:7" x14ac:dyDescent="0.2">
      <c r="A25" s="21">
        <v>24</v>
      </c>
      <c r="B25" s="3" t="s">
        <v>34</v>
      </c>
      <c r="C25" s="3" t="s">
        <v>18</v>
      </c>
      <c r="D25" s="3" t="s">
        <v>13</v>
      </c>
      <c r="E25" s="3" t="s">
        <v>14</v>
      </c>
      <c r="F25" s="50" t="s">
        <v>15</v>
      </c>
    </row>
    <row r="26" spans="1:7" x14ac:dyDescent="0.2">
      <c r="A26" s="23">
        <v>25</v>
      </c>
      <c r="B26" s="5" t="s">
        <v>45</v>
      </c>
      <c r="C26" s="5" t="s">
        <v>18</v>
      </c>
      <c r="D26" s="5" t="s">
        <v>36</v>
      </c>
      <c r="E26" s="5" t="s">
        <v>35</v>
      </c>
      <c r="F26" s="5" t="s">
        <v>15</v>
      </c>
    </row>
    <row r="27" spans="1:7" x14ac:dyDescent="0.2">
      <c r="A27" s="23">
        <v>26</v>
      </c>
      <c r="B27" s="5" t="s">
        <v>46</v>
      </c>
      <c r="C27" s="5" t="s">
        <v>18</v>
      </c>
      <c r="D27" s="5" t="s">
        <v>37</v>
      </c>
      <c r="E27" s="5" t="s">
        <v>35</v>
      </c>
      <c r="F27" s="5" t="s">
        <v>15</v>
      </c>
    </row>
    <row r="28" spans="1:7" x14ac:dyDescent="0.2">
      <c r="A28" s="23">
        <v>27</v>
      </c>
      <c r="B28" s="5" t="s">
        <v>48</v>
      </c>
      <c r="C28" s="5" t="s">
        <v>18</v>
      </c>
      <c r="D28" s="5" t="s">
        <v>38</v>
      </c>
      <c r="E28" s="5" t="s">
        <v>35</v>
      </c>
      <c r="F28" s="5" t="s">
        <v>15</v>
      </c>
    </row>
    <row r="29" spans="1:7" x14ac:dyDescent="0.2">
      <c r="A29" s="23">
        <v>28</v>
      </c>
      <c r="B29" s="5" t="s">
        <v>50</v>
      </c>
      <c r="C29" s="5" t="s">
        <v>18</v>
      </c>
      <c r="D29" s="5" t="s">
        <v>39</v>
      </c>
      <c r="E29" s="5" t="s">
        <v>35</v>
      </c>
      <c r="F29" s="5" t="s">
        <v>15</v>
      </c>
    </row>
    <row r="30" spans="1:7" ht="17" thickBot="1" x14ac:dyDescent="0.25">
      <c r="A30" s="23">
        <v>29</v>
      </c>
      <c r="B30" s="37" t="s">
        <v>72</v>
      </c>
      <c r="C30" s="62" t="s">
        <v>18</v>
      </c>
      <c r="D30" s="63" t="s">
        <v>67</v>
      </c>
      <c r="E30" s="63" t="s">
        <v>35</v>
      </c>
      <c r="F30" s="63" t="s">
        <v>15</v>
      </c>
      <c r="G30">
        <v>37</v>
      </c>
    </row>
    <row r="31" spans="1:7" x14ac:dyDescent="0.2">
      <c r="A31" s="23">
        <v>30</v>
      </c>
      <c r="B31" s="5" t="s">
        <v>55</v>
      </c>
      <c r="C31" s="5" t="s">
        <v>18</v>
      </c>
      <c r="D31" s="5" t="s">
        <v>41</v>
      </c>
      <c r="E31" s="5" t="s">
        <v>35</v>
      </c>
      <c r="F31" s="5" t="s">
        <v>15</v>
      </c>
    </row>
    <row r="32" spans="1:7" x14ac:dyDescent="0.2">
      <c r="A32" s="23">
        <v>31</v>
      </c>
      <c r="B32" s="5" t="s">
        <v>57</v>
      </c>
      <c r="C32" s="5" t="s">
        <v>18</v>
      </c>
      <c r="D32" s="5" t="s">
        <v>42</v>
      </c>
      <c r="E32" s="5" t="s">
        <v>35</v>
      </c>
      <c r="F32" s="5" t="s">
        <v>15</v>
      </c>
    </row>
    <row r="33" spans="1:8" ht="17" thickBot="1" x14ac:dyDescent="0.25">
      <c r="A33" s="23">
        <v>32</v>
      </c>
      <c r="B33" s="25" t="s">
        <v>59</v>
      </c>
      <c r="C33" s="25" t="s">
        <v>18</v>
      </c>
      <c r="D33" s="25" t="s">
        <v>43</v>
      </c>
      <c r="E33" s="25" t="s">
        <v>35</v>
      </c>
      <c r="F33" s="25" t="s">
        <v>15</v>
      </c>
    </row>
    <row r="34" spans="1:8" ht="17" thickBot="1" x14ac:dyDescent="0.25">
      <c r="A34" s="65" t="s">
        <v>81</v>
      </c>
      <c r="B34" s="66" t="s">
        <v>71</v>
      </c>
      <c r="C34" s="66" t="s">
        <v>18</v>
      </c>
      <c r="D34" s="66" t="s">
        <v>66</v>
      </c>
      <c r="E34" s="66" t="s">
        <v>35</v>
      </c>
      <c r="F34" s="67" t="s">
        <v>15</v>
      </c>
      <c r="G34">
        <v>36</v>
      </c>
      <c r="H34" s="70"/>
    </row>
    <row r="35" spans="1:8" x14ac:dyDescent="0.2">
      <c r="F35" s="68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DF7B-6794-AD4C-AFE1-D1F4C1126195}">
  <sheetPr>
    <pageSetUpPr fitToPage="1"/>
  </sheetPr>
  <dimension ref="A1:I33"/>
  <sheetViews>
    <sheetView workbookViewId="0">
      <selection activeCell="L14" sqref="L14"/>
    </sheetView>
  </sheetViews>
  <sheetFormatPr baseColWidth="10" defaultRowHeight="16" x14ac:dyDescent="0.2"/>
  <cols>
    <col min="7" max="7" width="17.5" customWidth="1"/>
    <col min="8" max="8" width="27.1640625" customWidth="1"/>
    <col min="9" max="9" width="25.6640625" customWidth="1"/>
  </cols>
  <sheetData>
    <row r="1" spans="1:9" x14ac:dyDescent="0.2">
      <c r="A1" s="2" t="s">
        <v>0</v>
      </c>
      <c r="B1" s="2" t="s">
        <v>2</v>
      </c>
      <c r="C1" s="2" t="s">
        <v>16</v>
      </c>
      <c r="D1" s="2" t="s">
        <v>1</v>
      </c>
      <c r="E1" s="2" t="s">
        <v>3</v>
      </c>
      <c r="F1" s="2" t="s">
        <v>4</v>
      </c>
      <c r="G1" s="6" t="s">
        <v>5</v>
      </c>
      <c r="H1" s="2" t="s">
        <v>63</v>
      </c>
      <c r="I1" s="2" t="s">
        <v>64</v>
      </c>
    </row>
    <row r="2" spans="1:9" x14ac:dyDescent="0.2">
      <c r="A2" s="3">
        <v>1</v>
      </c>
      <c r="B2" s="3" t="s">
        <v>19</v>
      </c>
      <c r="C2" s="3" t="s">
        <v>17</v>
      </c>
      <c r="D2" s="3" t="s">
        <v>6</v>
      </c>
      <c r="E2" s="3" t="s">
        <v>14</v>
      </c>
      <c r="F2" s="3" t="s">
        <v>15</v>
      </c>
      <c r="G2" s="4">
        <v>81.5</v>
      </c>
      <c r="H2" s="4">
        <f>(G2-5)/5</f>
        <v>15.3</v>
      </c>
      <c r="I2" s="4">
        <f>G2/(1+H2)</f>
        <v>5</v>
      </c>
    </row>
    <row r="3" spans="1:9" x14ac:dyDescent="0.2">
      <c r="A3" s="3">
        <v>2</v>
      </c>
      <c r="B3" s="3" t="s">
        <v>21</v>
      </c>
      <c r="C3" s="3" t="s">
        <v>17</v>
      </c>
      <c r="D3" s="3" t="s">
        <v>7</v>
      </c>
      <c r="E3" s="3" t="s">
        <v>14</v>
      </c>
      <c r="F3" s="3" t="s">
        <v>15</v>
      </c>
      <c r="G3" s="10">
        <v>-30.6</v>
      </c>
      <c r="H3" s="10">
        <f t="shared" ref="H3:H33" si="0">(G3-5)/5</f>
        <v>-7.12</v>
      </c>
      <c r="I3" s="4">
        <f t="shared" ref="I3:I33" si="1">G3/(1+H3)</f>
        <v>5</v>
      </c>
    </row>
    <row r="4" spans="1:9" x14ac:dyDescent="0.2">
      <c r="A4" s="3">
        <v>3</v>
      </c>
      <c r="B4" s="3" t="s">
        <v>23</v>
      </c>
      <c r="C4" s="3" t="s">
        <v>17</v>
      </c>
      <c r="D4" s="3" t="s">
        <v>8</v>
      </c>
      <c r="E4" s="3" t="s">
        <v>14</v>
      </c>
      <c r="F4" s="3" t="s">
        <v>15</v>
      </c>
      <c r="G4" s="4">
        <v>23.5</v>
      </c>
      <c r="H4" s="4">
        <f t="shared" si="0"/>
        <v>3.7</v>
      </c>
      <c r="I4" s="4">
        <f t="shared" si="1"/>
        <v>5</v>
      </c>
    </row>
    <row r="5" spans="1:9" x14ac:dyDescent="0.2">
      <c r="A5" s="3">
        <v>4</v>
      </c>
      <c r="B5" s="3" t="s">
        <v>25</v>
      </c>
      <c r="C5" s="3" t="s">
        <v>17</v>
      </c>
      <c r="D5" s="3" t="s">
        <v>9</v>
      </c>
      <c r="E5" s="3" t="s">
        <v>14</v>
      </c>
      <c r="F5" s="3" t="s">
        <v>15</v>
      </c>
      <c r="G5" s="4">
        <v>20.3</v>
      </c>
      <c r="H5" s="4">
        <f t="shared" si="0"/>
        <v>3.06</v>
      </c>
      <c r="I5" s="4">
        <f t="shared" si="1"/>
        <v>5</v>
      </c>
    </row>
    <row r="6" spans="1:9" x14ac:dyDescent="0.2">
      <c r="A6" s="3">
        <v>5</v>
      </c>
      <c r="B6" s="3" t="s">
        <v>27</v>
      </c>
      <c r="C6" s="3" t="s">
        <v>17</v>
      </c>
      <c r="D6" s="3" t="s">
        <v>10</v>
      </c>
      <c r="E6" s="3" t="s">
        <v>14</v>
      </c>
      <c r="F6" s="3" t="s">
        <v>15</v>
      </c>
      <c r="G6" s="4">
        <v>34.700000000000003</v>
      </c>
      <c r="H6" s="4">
        <f t="shared" si="0"/>
        <v>5.94</v>
      </c>
      <c r="I6" s="4">
        <f t="shared" si="1"/>
        <v>5</v>
      </c>
    </row>
    <row r="7" spans="1:9" x14ac:dyDescent="0.2">
      <c r="A7" s="3">
        <v>6</v>
      </c>
      <c r="B7" s="3" t="s">
        <v>29</v>
      </c>
      <c r="C7" s="3" t="s">
        <v>17</v>
      </c>
      <c r="D7" s="3" t="s">
        <v>11</v>
      </c>
      <c r="E7" s="3" t="s">
        <v>14</v>
      </c>
      <c r="F7" s="3" t="s">
        <v>15</v>
      </c>
      <c r="G7" s="4">
        <v>17.8</v>
      </c>
      <c r="H7" s="4">
        <f t="shared" si="0"/>
        <v>2.56</v>
      </c>
      <c r="I7" s="4">
        <f t="shared" si="1"/>
        <v>5</v>
      </c>
    </row>
    <row r="8" spans="1:9" x14ac:dyDescent="0.2">
      <c r="A8" s="3">
        <v>7</v>
      </c>
      <c r="B8" s="3" t="s">
        <v>31</v>
      </c>
      <c r="C8" s="3" t="s">
        <v>17</v>
      </c>
      <c r="D8" s="3" t="s">
        <v>12</v>
      </c>
      <c r="E8" s="3" t="s">
        <v>14</v>
      </c>
      <c r="F8" s="3" t="s">
        <v>15</v>
      </c>
      <c r="G8" s="4">
        <v>28.5</v>
      </c>
      <c r="H8" s="4">
        <f t="shared" si="0"/>
        <v>4.7</v>
      </c>
      <c r="I8" s="4">
        <f t="shared" si="1"/>
        <v>5</v>
      </c>
    </row>
    <row r="9" spans="1:9" x14ac:dyDescent="0.2">
      <c r="A9" s="3">
        <v>8</v>
      </c>
      <c r="B9" s="3" t="s">
        <v>33</v>
      </c>
      <c r="C9" s="3" t="s">
        <v>17</v>
      </c>
      <c r="D9" s="3" t="s">
        <v>13</v>
      </c>
      <c r="E9" s="3" t="s">
        <v>14</v>
      </c>
      <c r="F9" s="3" t="s">
        <v>15</v>
      </c>
      <c r="G9" s="4">
        <v>46.4</v>
      </c>
      <c r="H9" s="4">
        <f t="shared" si="0"/>
        <v>8.2799999999999994</v>
      </c>
      <c r="I9" s="4">
        <f t="shared" si="1"/>
        <v>5</v>
      </c>
    </row>
    <row r="10" spans="1:9" x14ac:dyDescent="0.2">
      <c r="A10" s="5">
        <v>9</v>
      </c>
      <c r="B10" s="5" t="s">
        <v>44</v>
      </c>
      <c r="C10" s="5" t="s">
        <v>17</v>
      </c>
      <c r="D10" s="5" t="s">
        <v>36</v>
      </c>
      <c r="E10" s="5" t="s">
        <v>35</v>
      </c>
      <c r="F10" s="5" t="s">
        <v>15</v>
      </c>
      <c r="G10" s="4">
        <v>50.9</v>
      </c>
      <c r="H10" s="4">
        <f t="shared" si="0"/>
        <v>9.18</v>
      </c>
      <c r="I10" s="4">
        <f t="shared" si="1"/>
        <v>5</v>
      </c>
    </row>
    <row r="11" spans="1:9" x14ac:dyDescent="0.2">
      <c r="A11" s="5">
        <v>10</v>
      </c>
      <c r="B11" s="5" t="s">
        <v>47</v>
      </c>
      <c r="C11" s="5" t="s">
        <v>17</v>
      </c>
      <c r="D11" s="5" t="s">
        <v>37</v>
      </c>
      <c r="E11" s="5" t="s">
        <v>35</v>
      </c>
      <c r="F11" s="5" t="s">
        <v>15</v>
      </c>
      <c r="G11" s="10">
        <v>-11.3</v>
      </c>
      <c r="H11" s="10">
        <f t="shared" si="0"/>
        <v>-3.2600000000000002</v>
      </c>
      <c r="I11" s="4">
        <f t="shared" si="1"/>
        <v>5</v>
      </c>
    </row>
    <row r="12" spans="1:9" x14ac:dyDescent="0.2">
      <c r="A12" s="5">
        <v>11</v>
      </c>
      <c r="B12" s="5" t="s">
        <v>49</v>
      </c>
      <c r="C12" s="5" t="s">
        <v>17</v>
      </c>
      <c r="D12" s="5" t="s">
        <v>38</v>
      </c>
      <c r="E12" s="5" t="s">
        <v>35</v>
      </c>
      <c r="F12" s="5" t="s">
        <v>15</v>
      </c>
      <c r="G12" s="4">
        <v>46.2</v>
      </c>
      <c r="H12" s="4">
        <f t="shared" si="0"/>
        <v>8.24</v>
      </c>
      <c r="I12" s="4">
        <f t="shared" si="1"/>
        <v>5</v>
      </c>
    </row>
    <row r="13" spans="1:9" x14ac:dyDescent="0.2">
      <c r="A13" s="5">
        <v>12</v>
      </c>
      <c r="B13" s="5" t="s">
        <v>51</v>
      </c>
      <c r="C13" s="5" t="s">
        <v>17</v>
      </c>
      <c r="D13" s="5" t="s">
        <v>39</v>
      </c>
      <c r="E13" s="5" t="s">
        <v>35</v>
      </c>
      <c r="F13" s="5" t="s">
        <v>15</v>
      </c>
      <c r="G13" s="4">
        <v>41.9</v>
      </c>
      <c r="H13" s="4">
        <f t="shared" si="0"/>
        <v>7.38</v>
      </c>
      <c r="I13" s="4">
        <f t="shared" si="1"/>
        <v>5</v>
      </c>
    </row>
    <row r="14" spans="1:9" x14ac:dyDescent="0.2">
      <c r="A14" s="5">
        <v>13</v>
      </c>
      <c r="B14" s="5" t="s">
        <v>52</v>
      </c>
      <c r="C14" s="5" t="s">
        <v>17</v>
      </c>
      <c r="D14" s="5" t="s">
        <v>40</v>
      </c>
      <c r="E14" s="5" t="s">
        <v>35</v>
      </c>
      <c r="F14" s="5" t="s">
        <v>15</v>
      </c>
      <c r="G14" s="4">
        <v>26.6</v>
      </c>
      <c r="H14" s="4">
        <f t="shared" si="0"/>
        <v>4.32</v>
      </c>
      <c r="I14" s="4">
        <f t="shared" si="1"/>
        <v>5</v>
      </c>
    </row>
    <row r="15" spans="1:9" x14ac:dyDescent="0.2">
      <c r="A15" s="5">
        <v>14</v>
      </c>
      <c r="B15" s="5" t="s">
        <v>54</v>
      </c>
      <c r="C15" s="5" t="s">
        <v>17</v>
      </c>
      <c r="D15" s="5" t="s">
        <v>41</v>
      </c>
      <c r="E15" s="5" t="s">
        <v>35</v>
      </c>
      <c r="F15" s="5" t="s">
        <v>15</v>
      </c>
      <c r="G15" s="10">
        <v>-7.6</v>
      </c>
      <c r="H15" s="10">
        <f t="shared" si="0"/>
        <v>-2.52</v>
      </c>
      <c r="I15" s="4">
        <f t="shared" si="1"/>
        <v>5</v>
      </c>
    </row>
    <row r="16" spans="1:9" x14ac:dyDescent="0.2">
      <c r="A16" s="5">
        <v>15</v>
      </c>
      <c r="B16" s="5" t="s">
        <v>56</v>
      </c>
      <c r="C16" s="5" t="s">
        <v>17</v>
      </c>
      <c r="D16" s="5" t="s">
        <v>42</v>
      </c>
      <c r="E16" s="5" t="s">
        <v>35</v>
      </c>
      <c r="F16" s="5" t="s">
        <v>15</v>
      </c>
      <c r="G16" s="4">
        <v>32.9</v>
      </c>
      <c r="H16" s="4">
        <f t="shared" si="0"/>
        <v>5.58</v>
      </c>
      <c r="I16" s="4">
        <f t="shared" si="1"/>
        <v>5</v>
      </c>
    </row>
    <row r="17" spans="1:9" x14ac:dyDescent="0.2">
      <c r="A17" s="5">
        <v>16</v>
      </c>
      <c r="B17" s="5" t="s">
        <v>58</v>
      </c>
      <c r="C17" s="5" t="s">
        <v>17</v>
      </c>
      <c r="D17" s="5" t="s">
        <v>43</v>
      </c>
      <c r="E17" s="5" t="s">
        <v>35</v>
      </c>
      <c r="F17" s="5" t="s">
        <v>15</v>
      </c>
      <c r="G17" s="4">
        <v>26.4</v>
      </c>
      <c r="H17" s="4">
        <f t="shared" si="0"/>
        <v>4.2799999999999994</v>
      </c>
      <c r="I17" s="4">
        <f t="shared" si="1"/>
        <v>5</v>
      </c>
    </row>
    <row r="18" spans="1:9" x14ac:dyDescent="0.2">
      <c r="A18" s="3">
        <v>17</v>
      </c>
      <c r="B18" s="3" t="s">
        <v>20</v>
      </c>
      <c r="C18" s="3" t="s">
        <v>18</v>
      </c>
      <c r="D18" s="3" t="s">
        <v>6</v>
      </c>
      <c r="E18" s="3" t="s">
        <v>14</v>
      </c>
      <c r="F18" s="3" t="s">
        <v>15</v>
      </c>
      <c r="G18" s="12">
        <v>1165.5999999999999</v>
      </c>
      <c r="H18" s="4">
        <f t="shared" si="0"/>
        <v>232.11999999999998</v>
      </c>
      <c r="I18" s="4">
        <f t="shared" si="1"/>
        <v>5</v>
      </c>
    </row>
    <row r="19" spans="1:9" x14ac:dyDescent="0.2">
      <c r="A19" s="3">
        <v>18</v>
      </c>
      <c r="B19" s="3" t="s">
        <v>22</v>
      </c>
      <c r="C19" s="3" t="s">
        <v>18</v>
      </c>
      <c r="D19" s="3" t="s">
        <v>7</v>
      </c>
      <c r="E19" s="3" t="s">
        <v>14</v>
      </c>
      <c r="F19" s="3" t="s">
        <v>15</v>
      </c>
      <c r="G19" s="12">
        <v>727.7</v>
      </c>
      <c r="H19" s="4">
        <f t="shared" si="0"/>
        <v>144.54000000000002</v>
      </c>
      <c r="I19" s="4">
        <f t="shared" si="1"/>
        <v>5</v>
      </c>
    </row>
    <row r="20" spans="1:9" x14ac:dyDescent="0.2">
      <c r="A20" s="3">
        <v>19</v>
      </c>
      <c r="B20" s="3" t="s">
        <v>24</v>
      </c>
      <c r="C20" s="3" t="s">
        <v>18</v>
      </c>
      <c r="D20" s="3" t="s">
        <v>8</v>
      </c>
      <c r="E20" s="3" t="s">
        <v>14</v>
      </c>
      <c r="F20" s="3" t="s">
        <v>15</v>
      </c>
      <c r="G20" s="12">
        <v>1125.2</v>
      </c>
      <c r="H20" s="4">
        <f t="shared" si="0"/>
        <v>224.04000000000002</v>
      </c>
      <c r="I20" s="4">
        <f t="shared" si="1"/>
        <v>5</v>
      </c>
    </row>
    <row r="21" spans="1:9" x14ac:dyDescent="0.2">
      <c r="A21" s="3">
        <v>20</v>
      </c>
      <c r="B21" s="3" t="s">
        <v>26</v>
      </c>
      <c r="C21" s="3" t="s">
        <v>18</v>
      </c>
      <c r="D21" s="3" t="s">
        <v>9</v>
      </c>
      <c r="E21" s="3" t="s">
        <v>14</v>
      </c>
      <c r="F21" s="3" t="s">
        <v>15</v>
      </c>
      <c r="G21" s="12">
        <v>626.5</v>
      </c>
      <c r="H21" s="4">
        <f t="shared" si="0"/>
        <v>124.3</v>
      </c>
      <c r="I21" s="4">
        <f t="shared" si="1"/>
        <v>5</v>
      </c>
    </row>
    <row r="22" spans="1:9" x14ac:dyDescent="0.2">
      <c r="A22" s="3">
        <v>21</v>
      </c>
      <c r="B22" s="3" t="s">
        <v>28</v>
      </c>
      <c r="C22" s="3" t="s">
        <v>18</v>
      </c>
      <c r="D22" s="3" t="s">
        <v>10</v>
      </c>
      <c r="E22" s="3" t="s">
        <v>14</v>
      </c>
      <c r="F22" s="3" t="s">
        <v>15</v>
      </c>
      <c r="G22" s="12">
        <v>520.1</v>
      </c>
      <c r="H22" s="4">
        <f t="shared" si="0"/>
        <v>103.02000000000001</v>
      </c>
      <c r="I22" s="4">
        <f t="shared" si="1"/>
        <v>5</v>
      </c>
    </row>
    <row r="23" spans="1:9" x14ac:dyDescent="0.2">
      <c r="A23" s="3">
        <v>22</v>
      </c>
      <c r="B23" s="3" t="s">
        <v>30</v>
      </c>
      <c r="C23" s="3" t="s">
        <v>18</v>
      </c>
      <c r="D23" s="3" t="s">
        <v>11</v>
      </c>
      <c r="E23" s="3" t="s">
        <v>14</v>
      </c>
      <c r="F23" s="3" t="s">
        <v>15</v>
      </c>
      <c r="G23" s="12">
        <v>835.6</v>
      </c>
      <c r="H23" s="4">
        <f t="shared" si="0"/>
        <v>166.12</v>
      </c>
      <c r="I23" s="4">
        <f t="shared" si="1"/>
        <v>5</v>
      </c>
    </row>
    <row r="24" spans="1:9" x14ac:dyDescent="0.2">
      <c r="A24" s="3">
        <v>23</v>
      </c>
      <c r="B24" s="3" t="s">
        <v>32</v>
      </c>
      <c r="C24" s="3" t="s">
        <v>18</v>
      </c>
      <c r="D24" s="3" t="s">
        <v>12</v>
      </c>
      <c r="E24" s="3" t="s">
        <v>14</v>
      </c>
      <c r="F24" s="3" t="s">
        <v>15</v>
      </c>
      <c r="G24" s="12">
        <v>250</v>
      </c>
      <c r="H24" s="4">
        <f t="shared" si="0"/>
        <v>49</v>
      </c>
      <c r="I24" s="4">
        <f t="shared" si="1"/>
        <v>5</v>
      </c>
    </row>
    <row r="25" spans="1:9" x14ac:dyDescent="0.2">
      <c r="A25" s="3">
        <v>24</v>
      </c>
      <c r="B25" s="3" t="s">
        <v>34</v>
      </c>
      <c r="C25" s="3" t="s">
        <v>18</v>
      </c>
      <c r="D25" s="3" t="s">
        <v>13</v>
      </c>
      <c r="E25" s="3" t="s">
        <v>14</v>
      </c>
      <c r="F25" s="3" t="s">
        <v>15</v>
      </c>
      <c r="G25" s="12">
        <v>467.4</v>
      </c>
      <c r="H25" s="4">
        <f t="shared" si="0"/>
        <v>92.47999999999999</v>
      </c>
      <c r="I25" s="4">
        <f t="shared" si="1"/>
        <v>5</v>
      </c>
    </row>
    <row r="26" spans="1:9" x14ac:dyDescent="0.2">
      <c r="A26" s="5">
        <v>25</v>
      </c>
      <c r="B26" s="5" t="s">
        <v>45</v>
      </c>
      <c r="C26" s="5" t="s">
        <v>18</v>
      </c>
      <c r="D26" s="5" t="s">
        <v>36</v>
      </c>
      <c r="E26" s="5" t="s">
        <v>35</v>
      </c>
      <c r="F26" s="5" t="s">
        <v>15</v>
      </c>
      <c r="G26" s="12">
        <v>897.9</v>
      </c>
      <c r="H26" s="4">
        <f t="shared" si="0"/>
        <v>178.57999999999998</v>
      </c>
      <c r="I26" s="4">
        <f t="shared" si="1"/>
        <v>5</v>
      </c>
    </row>
    <row r="27" spans="1:9" x14ac:dyDescent="0.2">
      <c r="A27" s="5">
        <v>26</v>
      </c>
      <c r="B27" s="5" t="s">
        <v>46</v>
      </c>
      <c r="C27" s="5" t="s">
        <v>18</v>
      </c>
      <c r="D27" s="5" t="s">
        <v>37</v>
      </c>
      <c r="E27" s="5" t="s">
        <v>35</v>
      </c>
      <c r="F27" s="5" t="s">
        <v>15</v>
      </c>
      <c r="G27" s="12">
        <v>882.3</v>
      </c>
      <c r="H27" s="4">
        <f t="shared" si="0"/>
        <v>175.45999999999998</v>
      </c>
      <c r="I27" s="4">
        <f t="shared" si="1"/>
        <v>5</v>
      </c>
    </row>
    <row r="28" spans="1:9" x14ac:dyDescent="0.2">
      <c r="A28" s="5">
        <v>27</v>
      </c>
      <c r="B28" s="5" t="s">
        <v>48</v>
      </c>
      <c r="C28" s="5" t="s">
        <v>18</v>
      </c>
      <c r="D28" s="5" t="s">
        <v>38</v>
      </c>
      <c r="E28" s="5" t="s">
        <v>35</v>
      </c>
      <c r="F28" s="5" t="s">
        <v>15</v>
      </c>
      <c r="G28" s="12">
        <v>491.5</v>
      </c>
      <c r="H28" s="4">
        <f t="shared" si="0"/>
        <v>97.3</v>
      </c>
      <c r="I28" s="4">
        <f t="shared" si="1"/>
        <v>5</v>
      </c>
    </row>
    <row r="29" spans="1:9" x14ac:dyDescent="0.2">
      <c r="A29" s="5">
        <v>28</v>
      </c>
      <c r="B29" s="5" t="s">
        <v>50</v>
      </c>
      <c r="C29" s="5" t="s">
        <v>18</v>
      </c>
      <c r="D29" s="5" t="s">
        <v>39</v>
      </c>
      <c r="E29" s="5" t="s">
        <v>35</v>
      </c>
      <c r="F29" s="5" t="s">
        <v>15</v>
      </c>
      <c r="G29" s="12">
        <v>554.5</v>
      </c>
      <c r="H29" s="4">
        <f t="shared" si="0"/>
        <v>109.9</v>
      </c>
      <c r="I29" s="4">
        <f t="shared" si="1"/>
        <v>5</v>
      </c>
    </row>
    <row r="30" spans="1:9" x14ac:dyDescent="0.2">
      <c r="A30" s="5">
        <v>29</v>
      </c>
      <c r="B30" s="5" t="s">
        <v>53</v>
      </c>
      <c r="C30" s="5" t="s">
        <v>18</v>
      </c>
      <c r="D30" s="5" t="s">
        <v>40</v>
      </c>
      <c r="E30" s="5" t="s">
        <v>35</v>
      </c>
      <c r="F30" s="5" t="s">
        <v>15</v>
      </c>
      <c r="G30" s="12">
        <v>65.599999999999994</v>
      </c>
      <c r="H30" s="4">
        <f t="shared" si="0"/>
        <v>12.12</v>
      </c>
      <c r="I30" s="4">
        <f t="shared" si="1"/>
        <v>5</v>
      </c>
    </row>
    <row r="31" spans="1:9" x14ac:dyDescent="0.2">
      <c r="A31" s="5">
        <v>30</v>
      </c>
      <c r="B31" s="5" t="s">
        <v>55</v>
      </c>
      <c r="C31" s="5" t="s">
        <v>18</v>
      </c>
      <c r="D31" s="5" t="s">
        <v>41</v>
      </c>
      <c r="E31" s="5" t="s">
        <v>35</v>
      </c>
      <c r="F31" s="5" t="s">
        <v>15</v>
      </c>
      <c r="G31" s="12">
        <v>602.6</v>
      </c>
      <c r="H31" s="4">
        <f t="shared" si="0"/>
        <v>119.52000000000001</v>
      </c>
      <c r="I31" s="4">
        <f t="shared" si="1"/>
        <v>5</v>
      </c>
    </row>
    <row r="32" spans="1:9" x14ac:dyDescent="0.2">
      <c r="A32" s="5">
        <v>31</v>
      </c>
      <c r="B32" s="5" t="s">
        <v>57</v>
      </c>
      <c r="C32" s="5" t="s">
        <v>18</v>
      </c>
      <c r="D32" s="5" t="s">
        <v>42</v>
      </c>
      <c r="E32" s="5" t="s">
        <v>35</v>
      </c>
      <c r="F32" s="5" t="s">
        <v>15</v>
      </c>
      <c r="G32" s="12">
        <v>690.9</v>
      </c>
      <c r="H32" s="4">
        <f t="shared" si="0"/>
        <v>137.18</v>
      </c>
      <c r="I32" s="4">
        <f t="shared" si="1"/>
        <v>5</v>
      </c>
    </row>
    <row r="33" spans="1:9" x14ac:dyDescent="0.2">
      <c r="A33" s="5">
        <v>32</v>
      </c>
      <c r="B33" s="5" t="s">
        <v>59</v>
      </c>
      <c r="C33" s="5" t="s">
        <v>18</v>
      </c>
      <c r="D33" s="5" t="s">
        <v>43</v>
      </c>
      <c r="E33" s="5" t="s">
        <v>35</v>
      </c>
      <c r="F33" s="5" t="s">
        <v>15</v>
      </c>
      <c r="G33" s="12">
        <v>384.3</v>
      </c>
      <c r="H33" s="4">
        <f t="shared" si="0"/>
        <v>75.86</v>
      </c>
      <c r="I33" s="4">
        <f t="shared" si="1"/>
        <v>5</v>
      </c>
    </row>
  </sheetData>
  <pageMargins left="0.7" right="0.7" top="0.75" bottom="0.75" header="0.3" footer="0.3"/>
  <pageSetup scale="8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 Information</vt:lpstr>
      <vt:lpstr>SubjectInformation for Analysis</vt:lpstr>
      <vt:lpstr>For BioAnalyzer Dilution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2022-11-30T22:02:02Z</cp:lastPrinted>
  <dcterms:created xsi:type="dcterms:W3CDTF">2022-11-10T22:40:44Z</dcterms:created>
  <dcterms:modified xsi:type="dcterms:W3CDTF">2023-03-07T17:55:21Z</dcterms:modified>
</cp:coreProperties>
</file>